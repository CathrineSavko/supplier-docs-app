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СЛУЖЕБНЫЕ ПО ФИРМЕ\ЛОГИСТИКА ИМПОРТ\СТИО\ПОСТАВКИ КИТАЙ СТИООО\WOFENG\58 (58-63)\"/>
    </mc:Choice>
  </mc:AlternateContent>
  <bookViews>
    <workbookView xWindow="0" yWindow="0" windowWidth="28800" windowHeight="12300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9" i="1" l="1"/>
  <c r="G28" i="1"/>
  <c r="G27" i="1"/>
  <c r="A30" i="1"/>
  <c r="A29" i="1"/>
  <c r="A28" i="1"/>
  <c r="A27" i="1"/>
  <c r="H14" i="2"/>
  <c r="G30" i="1" l="1"/>
  <c r="G26" i="1"/>
  <c r="G25" i="1" l="1"/>
  <c r="G24" i="1"/>
  <c r="G23" i="1"/>
  <c r="G19" i="1"/>
  <c r="G18" i="1"/>
  <c r="G21" i="1" l="1"/>
  <c r="G20" i="1" l="1"/>
  <c r="G22" i="1"/>
  <c r="G31" i="1" l="1"/>
</calcChain>
</file>

<file path=xl/sharedStrings.xml><?xml version="1.0" encoding="utf-8"?>
<sst xmlns="http://schemas.openxmlformats.org/spreadsheetml/2006/main" count="91" uniqueCount="67">
  <si>
    <t>№</t>
  </si>
  <si>
    <t xml:space="preserve">Designation </t>
  </si>
  <si>
    <t xml:space="preserve">Q-ty </t>
  </si>
  <si>
    <t>Unit</t>
  </si>
  <si>
    <t>Price, CNY</t>
  </si>
  <si>
    <t>Amount, CNY</t>
  </si>
  <si>
    <t>pcs</t>
  </si>
  <si>
    <t>ANJI WOFENG FURNITURE CO., LTD</t>
  </si>
  <si>
    <t xml:space="preserve">The Buyer / Consignee </t>
  </si>
  <si>
    <t>OOO "SADOVAYA TEKHNIKA I INSTRUMENTY"</t>
    <phoneticPr fontId="0" type="noConversion"/>
  </si>
  <si>
    <t>BOLSHAYA POCHTOVAYA STR 40, BUILDING 1, THE 3. FLOOR,</t>
  </si>
  <si>
    <t>ROOM 7A 105082  MOSCOW, RUSSIA</t>
  </si>
  <si>
    <t>Date:</t>
    <phoneticPr fontId="0" type="noConversion"/>
  </si>
  <si>
    <t>Delivery terms</t>
  </si>
  <si>
    <t>Total :</t>
  </si>
  <si>
    <t>PICTURES</t>
  </si>
  <si>
    <t>3.DELIVERY TIME: 90 DAYS</t>
  </si>
  <si>
    <t>Director Wang Min</t>
  </si>
  <si>
    <t>4.VALIDITY: THIS COMMERCIAL OFFERTA IS VALID FROM 26.02.2025 to 30.11.2025</t>
  </si>
  <si>
    <t>2.30% Deposit, 70% before loading</t>
  </si>
  <si>
    <t>F3,F4,F5,BUILDING 13,CHAIR INDUSTRY INCUBATION PARK 2,XIAOYUAN 
STREET,ANJI,HUZHOU,ZHEJIANG,CHN</t>
  </si>
  <si>
    <t>1.TOTAL AMOUNT: RMB 120000,00</t>
  </si>
  <si>
    <t>COMMERCIAL OFFERTA</t>
  </si>
  <si>
    <t>06 June 2025</t>
  </si>
  <si>
    <t>FOB (Incoterms 2020) Shanghai</t>
  </si>
  <si>
    <t>Computer chair KEIZEN</t>
  </si>
  <si>
    <t>Gaming chair URZUS</t>
  </si>
  <si>
    <t>ЦЗ-0347820900</t>
  </si>
  <si>
    <t>KZ-7351117</t>
  </si>
  <si>
    <t>Компьютерное кресло KEIZEN Umi Blue(KZ-7351117)</t>
  </si>
  <si>
    <t>шт</t>
  </si>
  <si>
    <t>ЦЗ-0027731970</t>
  </si>
  <si>
    <t>KZ-7351118</t>
  </si>
  <si>
    <t>Компьютерное кресло KEIZEN Umi Black(KZ-7351118)</t>
  </si>
  <si>
    <t>ЦЗ-2407367952</t>
  </si>
  <si>
    <t>KZ-7351119</t>
  </si>
  <si>
    <t>Компьютерное кресло KEIZEN Umi Gray(KZ-7351119)</t>
  </si>
  <si>
    <t>ЦЗ-0001634360</t>
  </si>
  <si>
    <t>KZ-7351120</t>
  </si>
  <si>
    <t>Компьютерное кресло KEIZEN Adapt Black(KZ-7351120)</t>
  </si>
  <si>
    <t>ЦЗ-1290639636</t>
  </si>
  <si>
    <t>KZ-7351122</t>
  </si>
  <si>
    <t>Компьютерное кресло KEIZEN Apex White(KZ-7351122)</t>
  </si>
  <si>
    <t>ЦЗ-0724854130</t>
  </si>
  <si>
    <t>KZ-7351123</t>
  </si>
  <si>
    <t>Компьютерное кресло KEIZEN Shogun Black(KZ-7351123)</t>
  </si>
  <si>
    <t>ЦЗ-3242376157</t>
  </si>
  <si>
    <t>KZ-7351114</t>
  </si>
  <si>
    <t>Компьютерное кресло KEIZEN Akira белый (KZ-7351114)</t>
  </si>
  <si>
    <t>ЦЗ-0039100644</t>
  </si>
  <si>
    <t>KZ-7351127</t>
  </si>
  <si>
    <t>Компьютерное кресло KEIZEN Cardinal Beige(KZ-7351127)</t>
  </si>
  <si>
    <t>ЦЗ-0005463150</t>
  </si>
  <si>
    <t>KZ-7351124</t>
  </si>
  <si>
    <t>Компьютерное кресло KEIZEN Mikado Beige(KZ-7351124)</t>
  </si>
  <si>
    <t>ЦЗ-0603340500</t>
  </si>
  <si>
    <t>KZ-7351125</t>
  </si>
  <si>
    <t>Компьютерное кресло KEIZEN Mikado Black(KZ-7351125)</t>
  </si>
  <si>
    <t>ЦЗ-6165684000</t>
  </si>
  <si>
    <t>KZ-7351126</t>
  </si>
  <si>
    <t>Компьютерное кресло KEIZEN Luxe Black(KZ-7351126)</t>
  </si>
  <si>
    <t>ЦЗ-0458609448</t>
  </si>
  <si>
    <t>KZ-7351128</t>
  </si>
  <si>
    <t>Компьютерное кресло KEIZEN Steel Black(KZ-7351128)</t>
  </si>
  <si>
    <t>ЦЗ-0012462660</t>
  </si>
  <si>
    <t>KZ-7351129</t>
  </si>
  <si>
    <t>Компьютерное кресло KEIZEN Helix Grey(KZ-7351129)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</si>
</sst>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3">
    <numFmt numFmtId="43" formatCode="_-* #,##0.00_-;\-* #,##0.00_-;_-* &quot;-&quot;??_-;_-@_-"/>
    <numFmt numFmtId="164" formatCode="_ * #,##0_ ;_ * \-#,##0_ ;_ * &quot;-&quot;_ ;_ @_ "/>
    <numFmt numFmtId="165" formatCode="_ * #,##0.00_ ;_ * \-#,##0.00_ ;_ * &quot;-&quot;??_ ;_ @_ "/>
    <numFmt numFmtId="166" formatCode="_-* #,##0.00\ [$€-1]_-;\-* #,##0.00\ [$€-1]_-;_-* &quot;-&quot;??\ [$€-1]_-"/>
    <numFmt numFmtId="167" formatCode="#."/>
    <numFmt numFmtId="168" formatCode="#\ ###\ ###\ ##0"/>
    <numFmt numFmtId="169" formatCode="_-* #,##0\ &quot;р.&quot;_-;\-* #,##0\ &quot;р.&quot;_-;_-* &quot;-&quot;\ &quot;р.&quot;_-;_-@_-"/>
    <numFmt numFmtId="170" formatCode="_ \¥* #,##0.00_ ;_ \¥* \-#,##0.00_ ;_ \¥* &quot;-&quot;??_ ;_ @_ "/>
    <numFmt numFmtId="171" formatCode="_-* #,##0.00&quot;р.&quot;_-;\-* #,##0.00&quot;р.&quot;_-;_-* &quot;-&quot;??&quot;р.&quot;_-;_-@_-"/>
    <numFmt numFmtId="172" formatCode="_ &quot;\&quot;* #,##0_ ;_ &quot;\&quot;* \-#,##0_ ;_ &quot;\&quot;* &quot;-&quot;_ ;_ @_ "/>
    <numFmt numFmtId="173" formatCode="_ &quot;\&quot;* #,##0.00_ ;_ &quot;\&quot;* \-#,##0.00_ ;_ &quot;\&quot;* &quot;-&quot;??_ ;_ @_ "/>
    <numFmt numFmtId="174" formatCode="_-* #,##0.00_р_._-;\-* #,##0.00_р_._-;_-* &quot;-&quot;??_р_._-;_-@_-"/>
    <numFmt numFmtId="175" formatCode="_ &quot;¥&quot;* #,##0.00_ ;_ &quot;¥&quot;* \-#,##0.00_ ;_ &quot;¥&quot;* &quot;-&quot;??_ ;_ @_ "/>
  </numFmts>
  <fonts count="113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6"/>
      <name val="Arial Cyr"/>
      <charset val="204"/>
    </font>
    <font>
      <b/>
      <sz val="8"/>
      <name val="Arial Cyr"/>
      <charset val="204"/>
    </font>
    <font>
      <sz val="8"/>
      <name val="Arial"/>
      <family val="2"/>
    </font>
    <font>
      <b/>
      <sz val="10"/>
      <name val="Arial"/>
      <family val="2"/>
      <charset val="204"/>
    </font>
    <font>
      <sz val="9"/>
      <name val="Arial"/>
      <family val="2"/>
      <charset val="204"/>
    </font>
    <font>
      <sz val="9"/>
      <color indexed="8"/>
      <name val="Arial"/>
      <family val="2"/>
      <charset val="204"/>
    </font>
    <font>
      <b/>
      <sz val="9"/>
      <name val="Arial"/>
      <family val="2"/>
      <charset val="204"/>
    </font>
    <font>
      <sz val="12"/>
      <name val="Arial"/>
      <family val="2"/>
      <charset val="204"/>
    </font>
    <font>
      <b/>
      <sz val="18"/>
      <name val="Arial"/>
      <family val="2"/>
      <charset val="204"/>
    </font>
    <font>
      <sz val="10"/>
      <name val="Arial"/>
      <family val="2"/>
      <charset val="204"/>
    </font>
    <font>
      <b/>
      <sz val="11"/>
      <color indexed="8"/>
      <name val="Arial"/>
      <family val="2"/>
      <charset val="204"/>
    </font>
    <font>
      <sz val="11"/>
      <color rgb="FF000000"/>
      <name val="Arial"/>
      <family val="2"/>
      <charset val="204"/>
    </font>
    <font>
      <sz val="10"/>
      <name val="Arial"/>
      <family val="2"/>
      <charset val="177"/>
    </font>
    <font>
      <b/>
      <sz val="14"/>
      <color theme="1"/>
      <name val="Calibri"/>
      <family val="2"/>
      <charset val="204"/>
      <scheme val="minor"/>
    </font>
    <font>
      <sz val="8"/>
      <name val="Arial"/>
      <family val="2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2"/>
      <name val="Arial"/>
      <family val="2"/>
      <charset val="204"/>
    </font>
    <font>
      <sz val="10"/>
      <name val="Helv"/>
      <charset val="134"/>
    </font>
    <font>
      <sz val="10"/>
      <name val="Helv"/>
      <charset val="204"/>
    </font>
    <font>
      <sz val="12"/>
      <name val="Times New Roman"/>
      <family val="1"/>
      <charset val="204"/>
    </font>
    <font>
      <sz val="12"/>
      <name val="宋体"/>
      <charset val="13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"/>
      <color indexed="16"/>
      <name val="Courier"/>
      <family val="3"/>
    </font>
    <font>
      <sz val="10"/>
      <name val="Book Antiqua"/>
      <family val="1"/>
      <charset val="204"/>
    </font>
    <font>
      <b/>
      <sz val="1"/>
      <color indexed="16"/>
      <name val="Courier"/>
      <family val="3"/>
    </font>
    <font>
      <sz val="10"/>
      <color indexed="8"/>
      <name val="Arial"/>
      <family val="2"/>
      <charset val="204"/>
    </font>
    <font>
      <sz val="10"/>
      <name val="MS Sans Serif"/>
      <charset val="204"/>
    </font>
    <font>
      <sz val="11"/>
      <color theme="1"/>
      <name val="Tahoma"/>
      <family val="2"/>
      <charset val="204"/>
    </font>
    <font>
      <sz val="10"/>
      <name val="Arial CE"/>
      <charset val="238"/>
    </font>
    <font>
      <sz val="12"/>
      <name val="№ЩЕБГј"/>
      <charset val="134"/>
    </font>
    <font>
      <sz val="8"/>
      <color indexed="8"/>
      <name val="Tahoma"/>
      <family val="2"/>
      <charset val="204"/>
    </font>
    <font>
      <sz val="9"/>
      <color indexed="63"/>
      <name val="Arial"/>
      <family val="2"/>
      <charset val="204"/>
    </font>
    <font>
      <u/>
      <sz val="10"/>
      <color indexed="12"/>
      <name val="Arial Cyr"/>
      <charset val="204"/>
    </font>
    <font>
      <sz val="11"/>
      <name val="µёїт"/>
      <charset val="134"/>
    </font>
    <font>
      <sz val="11"/>
      <color theme="1"/>
      <name val="Times New Roman"/>
      <family val="1"/>
      <charset val="204"/>
    </font>
    <font>
      <sz val="10"/>
      <name val="Arial Tur"/>
      <charset val="162"/>
    </font>
    <font>
      <sz val="11"/>
      <color indexed="8"/>
      <name val="宋体"/>
      <charset val="134"/>
    </font>
    <font>
      <sz val="11"/>
      <color indexed="8"/>
      <name val="Czcionka tekstu podstawowego"/>
      <charset val="238"/>
    </font>
    <font>
      <sz val="10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20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i/>
      <sz val="11"/>
      <color indexed="23"/>
      <name val="Calibri"/>
      <family val="2"/>
      <charset val="204"/>
    </font>
    <font>
      <b/>
      <sz val="18"/>
      <color indexed="56"/>
      <name val="Cambria"/>
      <family val="1"/>
      <charset val="204"/>
    </font>
    <font>
      <sz val="11"/>
      <color indexed="17"/>
      <name val="Calibri"/>
      <family val="2"/>
      <charset val="204"/>
    </font>
    <font>
      <sz val="11"/>
      <color indexed="62"/>
      <name val="Calibri"/>
      <family val="2"/>
      <charset val="204"/>
    </font>
    <font>
      <sz val="11"/>
      <color indexed="60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sz val="11"/>
      <name val="돋움체"/>
      <charset val="129"/>
    </font>
    <font>
      <sz val="12"/>
      <name val="新細明體"/>
      <charset val="136"/>
    </font>
    <font>
      <sz val="10"/>
      <name val="宋体"/>
      <charset val="134"/>
    </font>
    <font>
      <sz val="9"/>
      <color indexed="8"/>
      <name val="宋体"/>
      <charset val="134"/>
    </font>
    <font>
      <sz val="12"/>
      <color theme="1"/>
      <name val="Calibri"/>
      <family val="2"/>
      <charset val="204"/>
      <scheme val="minor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sz val="11"/>
      <color indexed="62"/>
      <name val="宋体"/>
      <charset val="134"/>
    </font>
    <font>
      <sz val="9"/>
      <name val="Arial"/>
      <charset val="204"/>
    </font>
    <font>
      <sz val="9"/>
      <color indexed="8"/>
      <name val="Arial"/>
      <charset val="204"/>
    </font>
    <font>
      <sz val="10"/>
      <name val="Arial"/>
      <family val="2"/>
    </font>
    <font>
      <sz val="12"/>
      <name val="宋体"/>
      <family val="3"/>
      <charset val="134"/>
    </font>
    <font>
      <sz val="12"/>
      <name val="新細明體"/>
      <family val="1"/>
      <charset val="136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Arial"/>
      <family val="2"/>
      <charset val="134"/>
    </font>
    <font>
      <sz val="12"/>
      <color theme="1"/>
      <name val="Calibri"/>
      <family val="3"/>
      <charset val="134"/>
      <scheme val="minor"/>
    </font>
    <font>
      <sz val="11"/>
      <color indexed="8"/>
      <name val="宋体"/>
      <family val="3"/>
      <charset val="134"/>
    </font>
    <font>
      <sz val="10"/>
      <name val="Arial Cyr"/>
      <family val="2"/>
      <charset val="204"/>
    </font>
    <font>
      <sz val="10"/>
      <name val="宋体"/>
      <family val="3"/>
      <charset val="134"/>
    </font>
    <font>
      <sz val="11"/>
      <color theme="1"/>
      <name val="Calibri"/>
      <family val="3"/>
      <charset val="134"/>
      <scheme val="minor"/>
    </font>
    <font>
      <sz val="10"/>
      <name val="Helv"/>
      <family val="2"/>
    </font>
    <font>
      <sz val="9"/>
      <color indexed="8"/>
      <name val="宋体"/>
      <family val="3"/>
      <charset val="134"/>
    </font>
    <font>
      <b/>
      <sz val="11"/>
      <color indexed="63"/>
      <name val="宋体"/>
      <family val="3"/>
      <charset val="134"/>
    </font>
    <font>
      <b/>
      <sz val="11"/>
      <color indexed="52"/>
      <name val="宋体"/>
      <family val="3"/>
      <charset val="134"/>
    </font>
    <font>
      <sz val="11"/>
      <color indexed="62"/>
      <name val="宋体"/>
      <family val="3"/>
      <charset val="134"/>
    </font>
    <font>
      <sz val="10"/>
      <name val="MS Sans Serif"/>
      <family val="2"/>
      <charset val="204"/>
    </font>
    <font>
      <sz val="10"/>
      <name val="Times New Roman"/>
      <family val="1"/>
    </font>
    <font>
      <sz val="10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9"/>
      <color indexed="63"/>
      <name val="Arial"/>
      <family val="2"/>
    </font>
    <font>
      <i/>
      <sz val="11"/>
      <color indexed="23"/>
      <name val="Calibri"/>
      <family val="2"/>
    </font>
    <font>
      <sz val="11"/>
      <color indexed="60"/>
      <name val="Calibri"/>
      <family val="2"/>
    </font>
    <font>
      <b/>
      <sz val="1"/>
      <color indexed="16"/>
      <name val="Courier"/>
      <family val="1"/>
    </font>
    <font>
      <b/>
      <sz val="12"/>
      <name val="Arial"/>
      <family val="2"/>
    </font>
    <font>
      <b/>
      <sz val="15"/>
      <color indexed="56"/>
      <name val="Calibri"/>
      <family val="2"/>
    </font>
    <font>
      <sz val="8"/>
      <color indexed="8"/>
      <name val="Tahoma"/>
      <family val="2"/>
    </font>
    <font>
      <b/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sz val="1"/>
      <color indexed="16"/>
      <name val="Courier"/>
      <family val="1"/>
    </font>
    <font>
      <b/>
      <sz val="11"/>
      <color indexed="8"/>
      <name val="Calibri"/>
      <family val="2"/>
    </font>
    <font>
      <sz val="11"/>
      <color theme="1"/>
      <name val="Times New Roman"/>
      <family val="1"/>
    </font>
    <font>
      <sz val="11"/>
      <color indexed="10"/>
      <name val="Calibri"/>
      <family val="2"/>
    </font>
    <font>
      <b/>
      <sz val="13"/>
      <color indexed="56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17"/>
      <name val="Calibri"/>
      <family val="2"/>
    </font>
    <font>
      <sz val="11"/>
      <color indexed="62"/>
      <name val="Calibri"/>
      <family val="2"/>
    </font>
    <font>
      <sz val="11"/>
      <color theme="1"/>
      <name val="Tahoma"/>
      <family val="2"/>
    </font>
    <font>
      <sz val="10"/>
      <name val="Helv"/>
    </font>
  </fonts>
  <fills count="25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6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118">
    <xf numFmtId="0" fontId="0" fillId="0" borderId="0"/>
    <xf numFmtId="0" fontId="1" fillId="0" borderId="0"/>
    <xf numFmtId="0" fontId="1" fillId="0" borderId="0"/>
    <xf numFmtId="0" fontId="1" fillId="0" borderId="0"/>
    <xf numFmtId="0" fontId="17" fillId="0" borderId="0">
      <alignment horizontal="left"/>
    </xf>
    <xf numFmtId="0" fontId="1" fillId="0" borderId="0">
      <alignment vertical="center"/>
    </xf>
    <xf numFmtId="0" fontId="18" fillId="0" borderId="0"/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22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18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2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0" fontId="12" fillId="0" borderId="0"/>
    <xf numFmtId="0" fontId="12" fillId="0" borderId="0"/>
    <xf numFmtId="0" fontId="12" fillId="0" borderId="0"/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0" fontId="12" fillId="0" borderId="0"/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8" fillId="0" borderId="0">
      <alignment vertical="center"/>
    </xf>
    <xf numFmtId="166" fontId="18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19" fillId="0" borderId="0" applyNumberFormat="0" applyFill="0" applyBorder="0" applyAlignment="0" applyProtection="0">
      <alignment vertical="center"/>
    </xf>
    <xf numFmtId="166" fontId="19" fillId="0" borderId="0" applyNumberFormat="0" applyFill="0" applyBorder="0" applyAlignment="0" applyProtection="0">
      <alignment vertical="center"/>
    </xf>
    <xf numFmtId="166" fontId="19" fillId="0" borderId="0" applyNumberFormat="0" applyFill="0" applyBorder="0" applyAlignment="0" applyProtection="0">
      <alignment vertical="center"/>
    </xf>
    <xf numFmtId="166" fontId="19" fillId="0" borderId="0" applyNumberFormat="0" applyFill="0" applyBorder="0" applyAlignment="0" applyProtection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23" fillId="0" borderId="0">
      <alignment vertical="center"/>
    </xf>
    <xf numFmtId="166" fontId="23" fillId="0" borderId="0">
      <alignment vertical="center"/>
    </xf>
    <xf numFmtId="166" fontId="23" fillId="0" borderId="0">
      <alignment vertical="center"/>
    </xf>
    <xf numFmtId="166" fontId="23" fillId="0" borderId="0">
      <alignment vertical="center"/>
    </xf>
    <xf numFmtId="0" fontId="23" fillId="0" borderId="0"/>
    <xf numFmtId="166" fontId="23" fillId="0" borderId="0">
      <alignment vertical="center"/>
    </xf>
    <xf numFmtId="166" fontId="23" fillId="0" borderId="0">
      <alignment vertical="center"/>
    </xf>
    <xf numFmtId="166" fontId="23" fillId="0" borderId="0">
      <alignment vertical="center"/>
    </xf>
    <xf numFmtId="166" fontId="23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0" fontId="23" fillId="0" borderId="0"/>
    <xf numFmtId="0" fontId="24" fillId="0" borderId="0"/>
    <xf numFmtId="166" fontId="25" fillId="2" borderId="0" applyNumberFormat="0" applyBorder="0" applyAlignment="0" applyProtection="0">
      <alignment vertical="center"/>
    </xf>
    <xf numFmtId="166" fontId="25" fillId="2" borderId="0" applyNumberFormat="0" applyBorder="0" applyAlignment="0" applyProtection="0">
      <alignment vertical="center"/>
    </xf>
    <xf numFmtId="166" fontId="25" fillId="2" borderId="0" applyNumberFormat="0" applyBorder="0" applyAlignment="0" applyProtection="0">
      <alignment vertical="center"/>
    </xf>
    <xf numFmtId="166" fontId="25" fillId="2" borderId="0" applyNumberFormat="0" applyBorder="0" applyAlignment="0" applyProtection="0">
      <alignment vertical="center"/>
    </xf>
    <xf numFmtId="166" fontId="25" fillId="3" borderId="0" applyNumberFormat="0" applyBorder="0" applyAlignment="0" applyProtection="0">
      <alignment vertical="center"/>
    </xf>
    <xf numFmtId="166" fontId="25" fillId="3" borderId="0" applyNumberFormat="0" applyBorder="0" applyAlignment="0" applyProtection="0">
      <alignment vertical="center"/>
    </xf>
    <xf numFmtId="166" fontId="25" fillId="3" borderId="0" applyNumberFormat="0" applyBorder="0" applyAlignment="0" applyProtection="0">
      <alignment vertical="center"/>
    </xf>
    <xf numFmtId="166" fontId="25" fillId="3" borderId="0" applyNumberFormat="0" applyBorder="0" applyAlignment="0" applyProtection="0">
      <alignment vertical="center"/>
    </xf>
    <xf numFmtId="166" fontId="25" fillId="4" borderId="0" applyNumberFormat="0" applyBorder="0" applyAlignment="0" applyProtection="0">
      <alignment vertical="center"/>
    </xf>
    <xf numFmtId="166" fontId="25" fillId="4" borderId="0" applyNumberFormat="0" applyBorder="0" applyAlignment="0" applyProtection="0">
      <alignment vertical="center"/>
    </xf>
    <xf numFmtId="166" fontId="25" fillId="4" borderId="0" applyNumberFormat="0" applyBorder="0" applyAlignment="0" applyProtection="0">
      <alignment vertical="center"/>
    </xf>
    <xf numFmtId="166" fontId="25" fillId="4" borderId="0" applyNumberFormat="0" applyBorder="0" applyAlignment="0" applyProtection="0">
      <alignment vertical="center"/>
    </xf>
    <xf numFmtId="166" fontId="25" fillId="5" borderId="0" applyNumberFormat="0" applyBorder="0" applyAlignment="0" applyProtection="0">
      <alignment vertical="center"/>
    </xf>
    <xf numFmtId="166" fontId="25" fillId="5" borderId="0" applyNumberFormat="0" applyBorder="0" applyAlignment="0" applyProtection="0">
      <alignment vertical="center"/>
    </xf>
    <xf numFmtId="166" fontId="25" fillId="5" borderId="0" applyNumberFormat="0" applyBorder="0" applyAlignment="0" applyProtection="0">
      <alignment vertical="center"/>
    </xf>
    <xf numFmtId="166" fontId="25" fillId="5" borderId="0" applyNumberFormat="0" applyBorder="0" applyAlignment="0" applyProtection="0">
      <alignment vertical="center"/>
    </xf>
    <xf numFmtId="166" fontId="25" fillId="6" borderId="0" applyNumberFormat="0" applyBorder="0" applyAlignment="0" applyProtection="0">
      <alignment vertical="center"/>
    </xf>
    <xf numFmtId="166" fontId="25" fillId="6" borderId="0" applyNumberFormat="0" applyBorder="0" applyAlignment="0" applyProtection="0">
      <alignment vertical="center"/>
    </xf>
    <xf numFmtId="166" fontId="25" fillId="6" borderId="0" applyNumberFormat="0" applyBorder="0" applyAlignment="0" applyProtection="0">
      <alignment vertical="center"/>
    </xf>
    <xf numFmtId="166" fontId="25" fillId="6" borderId="0" applyNumberFormat="0" applyBorder="0" applyAlignment="0" applyProtection="0">
      <alignment vertical="center"/>
    </xf>
    <xf numFmtId="166" fontId="25" fillId="7" borderId="0" applyNumberFormat="0" applyBorder="0" applyAlignment="0" applyProtection="0">
      <alignment vertical="center"/>
    </xf>
    <xf numFmtId="166" fontId="25" fillId="7" borderId="0" applyNumberFormat="0" applyBorder="0" applyAlignment="0" applyProtection="0">
      <alignment vertical="center"/>
    </xf>
    <xf numFmtId="166" fontId="25" fillId="7" borderId="0" applyNumberFormat="0" applyBorder="0" applyAlignment="0" applyProtection="0">
      <alignment vertical="center"/>
    </xf>
    <xf numFmtId="166" fontId="25" fillId="7" borderId="0" applyNumberFormat="0" applyBorder="0" applyAlignment="0" applyProtection="0">
      <alignment vertical="center"/>
    </xf>
    <xf numFmtId="166" fontId="25" fillId="8" borderId="0" applyNumberFormat="0" applyBorder="0" applyAlignment="0" applyProtection="0">
      <alignment vertical="center"/>
    </xf>
    <xf numFmtId="166" fontId="25" fillId="8" borderId="0" applyNumberFormat="0" applyBorder="0" applyAlignment="0" applyProtection="0">
      <alignment vertical="center"/>
    </xf>
    <xf numFmtId="166" fontId="25" fillId="8" borderId="0" applyNumberFormat="0" applyBorder="0" applyAlignment="0" applyProtection="0">
      <alignment vertical="center"/>
    </xf>
    <xf numFmtId="166" fontId="25" fillId="8" borderId="0" applyNumberFormat="0" applyBorder="0" applyAlignment="0" applyProtection="0">
      <alignment vertical="center"/>
    </xf>
    <xf numFmtId="166" fontId="25" fillId="9" borderId="0" applyNumberFormat="0" applyBorder="0" applyAlignment="0" applyProtection="0">
      <alignment vertical="center"/>
    </xf>
    <xf numFmtId="166" fontId="25" fillId="9" borderId="0" applyNumberFormat="0" applyBorder="0" applyAlignment="0" applyProtection="0">
      <alignment vertical="center"/>
    </xf>
    <xf numFmtId="166" fontId="25" fillId="9" borderId="0" applyNumberFormat="0" applyBorder="0" applyAlignment="0" applyProtection="0">
      <alignment vertical="center"/>
    </xf>
    <xf numFmtId="166" fontId="25" fillId="9" borderId="0" applyNumberFormat="0" applyBorder="0" applyAlignment="0" applyProtection="0">
      <alignment vertical="center"/>
    </xf>
    <xf numFmtId="166" fontId="25" fillId="10" borderId="0" applyNumberFormat="0" applyBorder="0" applyAlignment="0" applyProtection="0">
      <alignment vertical="center"/>
    </xf>
    <xf numFmtId="166" fontId="25" fillId="10" borderId="0" applyNumberFormat="0" applyBorder="0" applyAlignment="0" applyProtection="0">
      <alignment vertical="center"/>
    </xf>
    <xf numFmtId="166" fontId="25" fillId="10" borderId="0" applyNumberFormat="0" applyBorder="0" applyAlignment="0" applyProtection="0">
      <alignment vertical="center"/>
    </xf>
    <xf numFmtId="166" fontId="25" fillId="10" borderId="0" applyNumberFormat="0" applyBorder="0" applyAlignment="0" applyProtection="0">
      <alignment vertical="center"/>
    </xf>
    <xf numFmtId="166" fontId="25" fillId="5" borderId="0" applyNumberFormat="0" applyBorder="0" applyAlignment="0" applyProtection="0">
      <alignment vertical="center"/>
    </xf>
    <xf numFmtId="166" fontId="25" fillId="5" borderId="0" applyNumberFormat="0" applyBorder="0" applyAlignment="0" applyProtection="0">
      <alignment vertical="center"/>
    </xf>
    <xf numFmtId="166" fontId="25" fillId="5" borderId="0" applyNumberFormat="0" applyBorder="0" applyAlignment="0" applyProtection="0">
      <alignment vertical="center"/>
    </xf>
    <xf numFmtId="166" fontId="25" fillId="5" borderId="0" applyNumberFormat="0" applyBorder="0" applyAlignment="0" applyProtection="0">
      <alignment vertical="center"/>
    </xf>
    <xf numFmtId="166" fontId="25" fillId="8" borderId="0" applyNumberFormat="0" applyBorder="0" applyAlignment="0" applyProtection="0">
      <alignment vertical="center"/>
    </xf>
    <xf numFmtId="166" fontId="25" fillId="8" borderId="0" applyNumberFormat="0" applyBorder="0" applyAlignment="0" applyProtection="0">
      <alignment vertical="center"/>
    </xf>
    <xf numFmtId="166" fontId="25" fillId="8" borderId="0" applyNumberFormat="0" applyBorder="0" applyAlignment="0" applyProtection="0">
      <alignment vertical="center"/>
    </xf>
    <xf numFmtId="166" fontId="25" fillId="8" borderId="0" applyNumberFormat="0" applyBorder="0" applyAlignment="0" applyProtection="0">
      <alignment vertical="center"/>
    </xf>
    <xf numFmtId="166" fontId="25" fillId="11" borderId="0" applyNumberFormat="0" applyBorder="0" applyAlignment="0" applyProtection="0">
      <alignment vertical="center"/>
    </xf>
    <xf numFmtId="166" fontId="25" fillId="11" borderId="0" applyNumberFormat="0" applyBorder="0" applyAlignment="0" applyProtection="0">
      <alignment vertical="center"/>
    </xf>
    <xf numFmtId="166" fontId="25" fillId="11" borderId="0" applyNumberFormat="0" applyBorder="0" applyAlignment="0" applyProtection="0">
      <alignment vertical="center"/>
    </xf>
    <xf numFmtId="166" fontId="25" fillId="11" borderId="0" applyNumberFormat="0" applyBorder="0" applyAlignment="0" applyProtection="0">
      <alignment vertical="center"/>
    </xf>
    <xf numFmtId="166" fontId="26" fillId="12" borderId="0" applyNumberFormat="0" applyBorder="0" applyAlignment="0" applyProtection="0">
      <alignment vertical="center"/>
    </xf>
    <xf numFmtId="166" fontId="26" fillId="12" borderId="0" applyNumberFormat="0" applyBorder="0" applyAlignment="0" applyProtection="0">
      <alignment vertical="center"/>
    </xf>
    <xf numFmtId="166" fontId="26" fillId="12" borderId="0" applyNumberFormat="0" applyBorder="0" applyAlignment="0" applyProtection="0">
      <alignment vertical="center"/>
    </xf>
    <xf numFmtId="166" fontId="26" fillId="12" borderId="0" applyNumberFormat="0" applyBorder="0" applyAlignment="0" applyProtection="0">
      <alignment vertical="center"/>
    </xf>
    <xf numFmtId="166" fontId="26" fillId="9" borderId="0" applyNumberFormat="0" applyBorder="0" applyAlignment="0" applyProtection="0">
      <alignment vertical="center"/>
    </xf>
    <xf numFmtId="166" fontId="26" fillId="9" borderId="0" applyNumberFormat="0" applyBorder="0" applyAlignment="0" applyProtection="0">
      <alignment vertical="center"/>
    </xf>
    <xf numFmtId="166" fontId="26" fillId="9" borderId="0" applyNumberFormat="0" applyBorder="0" applyAlignment="0" applyProtection="0">
      <alignment vertical="center"/>
    </xf>
    <xf numFmtId="166" fontId="26" fillId="9" borderId="0" applyNumberFormat="0" applyBorder="0" applyAlignment="0" applyProtection="0">
      <alignment vertical="center"/>
    </xf>
    <xf numFmtId="166" fontId="26" fillId="10" borderId="0" applyNumberFormat="0" applyBorder="0" applyAlignment="0" applyProtection="0">
      <alignment vertical="center"/>
    </xf>
    <xf numFmtId="166" fontId="26" fillId="10" borderId="0" applyNumberFormat="0" applyBorder="0" applyAlignment="0" applyProtection="0">
      <alignment vertical="center"/>
    </xf>
    <xf numFmtId="166" fontId="26" fillId="10" borderId="0" applyNumberFormat="0" applyBorder="0" applyAlignment="0" applyProtection="0">
      <alignment vertical="center"/>
    </xf>
    <xf numFmtId="166" fontId="26" fillId="10" borderId="0" applyNumberFormat="0" applyBorder="0" applyAlignment="0" applyProtection="0">
      <alignment vertical="center"/>
    </xf>
    <xf numFmtId="166" fontId="26" fillId="13" borderId="0" applyNumberFormat="0" applyBorder="0" applyAlignment="0" applyProtection="0">
      <alignment vertical="center"/>
    </xf>
    <xf numFmtId="166" fontId="26" fillId="13" borderId="0" applyNumberFormat="0" applyBorder="0" applyAlignment="0" applyProtection="0">
      <alignment vertical="center"/>
    </xf>
    <xf numFmtId="166" fontId="26" fillId="13" borderId="0" applyNumberFormat="0" applyBorder="0" applyAlignment="0" applyProtection="0">
      <alignment vertical="center"/>
    </xf>
    <xf numFmtId="166" fontId="26" fillId="13" borderId="0" applyNumberFormat="0" applyBorder="0" applyAlignment="0" applyProtection="0">
      <alignment vertical="center"/>
    </xf>
    <xf numFmtId="166" fontId="26" fillId="14" borderId="0" applyNumberFormat="0" applyBorder="0" applyAlignment="0" applyProtection="0">
      <alignment vertical="center"/>
    </xf>
    <xf numFmtId="166" fontId="26" fillId="14" borderId="0" applyNumberFormat="0" applyBorder="0" applyAlignment="0" applyProtection="0">
      <alignment vertical="center"/>
    </xf>
    <xf numFmtId="166" fontId="26" fillId="14" borderId="0" applyNumberFormat="0" applyBorder="0" applyAlignment="0" applyProtection="0">
      <alignment vertical="center"/>
    </xf>
    <xf numFmtId="166" fontId="26" fillId="14" borderId="0" applyNumberFormat="0" applyBorder="0" applyAlignment="0" applyProtection="0">
      <alignment vertical="center"/>
    </xf>
    <xf numFmtId="166" fontId="26" fillId="15" borderId="0" applyNumberFormat="0" applyBorder="0" applyAlignment="0" applyProtection="0">
      <alignment vertical="center"/>
    </xf>
    <xf numFmtId="166" fontId="26" fillId="15" borderId="0" applyNumberFormat="0" applyBorder="0" applyAlignment="0" applyProtection="0">
      <alignment vertical="center"/>
    </xf>
    <xf numFmtId="166" fontId="26" fillId="15" borderId="0" applyNumberFormat="0" applyBorder="0" applyAlignment="0" applyProtection="0">
      <alignment vertical="center"/>
    </xf>
    <xf numFmtId="166" fontId="26" fillId="15" borderId="0" applyNumberFormat="0" applyBorder="0" applyAlignment="0" applyProtection="0">
      <alignment vertical="center"/>
    </xf>
    <xf numFmtId="167" fontId="27" fillId="0" borderId="0">
      <alignment vertical="center"/>
      <protection locked="0"/>
    </xf>
    <xf numFmtId="167" fontId="27" fillId="0" borderId="0">
      <alignment vertical="center"/>
      <protection locked="0"/>
    </xf>
    <xf numFmtId="167" fontId="27" fillId="0" borderId="0">
      <alignment vertical="center"/>
      <protection locked="0"/>
    </xf>
    <xf numFmtId="167" fontId="27" fillId="0" borderId="0">
      <alignment vertical="center"/>
      <protection locked="0"/>
    </xf>
    <xf numFmtId="167" fontId="27" fillId="0" borderId="0">
      <alignment vertical="center"/>
      <protection locked="0"/>
    </xf>
    <xf numFmtId="167" fontId="27" fillId="0" borderId="0">
      <alignment vertical="center"/>
      <protection locked="0"/>
    </xf>
    <xf numFmtId="167" fontId="27" fillId="0" borderId="0">
      <alignment vertical="center"/>
      <protection locked="0"/>
    </xf>
    <xf numFmtId="167" fontId="27" fillId="0" borderId="0">
      <alignment vertical="center"/>
      <protection locked="0"/>
    </xf>
    <xf numFmtId="167" fontId="27" fillId="0" borderId="0">
      <alignment vertical="center"/>
      <protection locked="0"/>
    </xf>
    <xf numFmtId="167" fontId="27" fillId="0" borderId="0">
      <alignment vertical="center"/>
      <protection locked="0"/>
    </xf>
    <xf numFmtId="167" fontId="27" fillId="0" borderId="0">
      <alignment vertical="center"/>
      <protection locked="0"/>
    </xf>
    <xf numFmtId="167" fontId="27" fillId="0" borderId="0">
      <alignment vertical="center"/>
      <protection locked="0"/>
    </xf>
    <xf numFmtId="166" fontId="12" fillId="0" borderId="0" applyFont="0" applyFill="0" applyBorder="0" applyAlignment="0" applyProtection="0">
      <alignment vertical="center"/>
    </xf>
    <xf numFmtId="166" fontId="12" fillId="0" borderId="0" applyFont="0" applyFill="0" applyBorder="0" applyAlignment="0" applyProtection="0">
      <alignment vertical="center"/>
    </xf>
    <xf numFmtId="166" fontId="12" fillId="0" borderId="0" applyFont="0" applyFill="0" applyBorder="0" applyAlignment="0" applyProtection="0">
      <alignment vertical="center"/>
    </xf>
    <xf numFmtId="166" fontId="12" fillId="0" borderId="0" applyFont="0" applyFill="0" applyBorder="0" applyAlignment="0" applyProtection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25" fillId="0" borderId="0">
      <alignment vertical="center"/>
    </xf>
    <xf numFmtId="166" fontId="25" fillId="0" borderId="0">
      <alignment vertical="center"/>
    </xf>
    <xf numFmtId="166" fontId="25" fillId="0" borderId="0">
      <alignment vertical="center"/>
    </xf>
    <xf numFmtId="166" fontId="25" fillId="0" borderId="0">
      <alignment vertical="center"/>
    </xf>
    <xf numFmtId="166" fontId="28" fillId="0" borderId="0">
      <alignment vertical="center"/>
    </xf>
    <xf numFmtId="167" fontId="27" fillId="0" borderId="0">
      <alignment vertical="center"/>
      <protection locked="0"/>
    </xf>
    <xf numFmtId="167" fontId="27" fillId="0" borderId="0">
      <alignment vertical="center"/>
      <protection locked="0"/>
    </xf>
    <xf numFmtId="167" fontId="27" fillId="0" borderId="0">
      <alignment vertical="center"/>
      <protection locked="0"/>
    </xf>
    <xf numFmtId="167" fontId="27" fillId="0" borderId="0">
      <alignment vertical="center"/>
      <protection locked="0"/>
    </xf>
    <xf numFmtId="166" fontId="20" fillId="0" borderId="5" applyNumberFormat="0" applyAlignment="0" applyProtection="0">
      <alignment horizontal="left" vertical="center"/>
    </xf>
    <xf numFmtId="166" fontId="20" fillId="0" borderId="5" applyNumberFormat="0" applyAlignment="0" applyProtection="0">
      <alignment horizontal="left" vertical="center"/>
    </xf>
    <xf numFmtId="166" fontId="20" fillId="0" borderId="5" applyNumberFormat="0" applyAlignment="0" applyProtection="0">
      <alignment horizontal="left" vertical="center"/>
    </xf>
    <xf numFmtId="166" fontId="20" fillId="0" borderId="5" applyNumberFormat="0" applyAlignment="0" applyProtection="0">
      <alignment horizontal="left" vertical="center"/>
    </xf>
    <xf numFmtId="166" fontId="20" fillId="0" borderId="6">
      <alignment horizontal="left" vertical="center"/>
    </xf>
    <xf numFmtId="166" fontId="20" fillId="0" borderId="6">
      <alignment horizontal="left" vertical="center"/>
    </xf>
    <xf numFmtId="166" fontId="20" fillId="0" borderId="6">
      <alignment horizontal="left" vertical="center"/>
    </xf>
    <xf numFmtId="166" fontId="20" fillId="0" borderId="6">
      <alignment horizontal="left" vertical="center"/>
    </xf>
    <xf numFmtId="0" fontId="20" fillId="0" borderId="6">
      <alignment horizontal="left" vertical="center"/>
    </xf>
    <xf numFmtId="0" fontId="20" fillId="0" borderId="6">
      <alignment horizontal="left" vertical="center"/>
    </xf>
    <xf numFmtId="0" fontId="20" fillId="0" borderId="6">
      <alignment horizontal="left" vertical="center"/>
    </xf>
    <xf numFmtId="0" fontId="20" fillId="0" borderId="6">
      <alignment horizontal="left" vertical="center"/>
    </xf>
    <xf numFmtId="166" fontId="20" fillId="0" borderId="6">
      <alignment horizontal="left" vertical="center"/>
    </xf>
    <xf numFmtId="166" fontId="20" fillId="0" borderId="6">
      <alignment horizontal="left" vertical="center"/>
    </xf>
    <xf numFmtId="166" fontId="20" fillId="0" borderId="6">
      <alignment horizontal="left" vertical="center"/>
    </xf>
    <xf numFmtId="166" fontId="20" fillId="0" borderId="6">
      <alignment horizontal="left" vertical="center"/>
    </xf>
    <xf numFmtId="166" fontId="20" fillId="0" borderId="6">
      <alignment horizontal="left" vertical="center"/>
    </xf>
    <xf numFmtId="166" fontId="20" fillId="0" borderId="6">
      <alignment horizontal="left" vertical="center"/>
    </xf>
    <xf numFmtId="166" fontId="20" fillId="0" borderId="6">
      <alignment horizontal="left" vertical="center"/>
    </xf>
    <xf numFmtId="166" fontId="20" fillId="0" borderId="6">
      <alignment horizontal="left" vertical="center"/>
    </xf>
    <xf numFmtId="166" fontId="20" fillId="0" borderId="6">
      <alignment horizontal="left" vertical="center"/>
    </xf>
    <xf numFmtId="166" fontId="20" fillId="0" borderId="6">
      <alignment horizontal="left" vertical="center"/>
    </xf>
    <xf numFmtId="166" fontId="20" fillId="0" borderId="6">
      <alignment horizontal="left" vertical="center"/>
    </xf>
    <xf numFmtId="166" fontId="20" fillId="0" borderId="6">
      <alignment horizontal="left" vertical="center"/>
    </xf>
    <xf numFmtId="166" fontId="20" fillId="0" borderId="6">
      <alignment horizontal="left" vertical="center"/>
    </xf>
    <xf numFmtId="166" fontId="20" fillId="0" borderId="6">
      <alignment horizontal="left" vertical="center"/>
    </xf>
    <xf numFmtId="167" fontId="29" fillId="0" borderId="0">
      <alignment vertical="center"/>
      <protection locked="0"/>
    </xf>
    <xf numFmtId="167" fontId="29" fillId="0" borderId="0">
      <alignment vertical="center"/>
      <protection locked="0"/>
    </xf>
    <xf numFmtId="167" fontId="29" fillId="0" borderId="0">
      <alignment vertical="center"/>
      <protection locked="0"/>
    </xf>
    <xf numFmtId="167" fontId="29" fillId="0" borderId="0">
      <alignment vertical="center"/>
      <protection locked="0"/>
    </xf>
    <xf numFmtId="167" fontId="29" fillId="0" borderId="0">
      <alignment vertical="center"/>
      <protection locked="0"/>
    </xf>
    <xf numFmtId="167" fontId="29" fillId="0" borderId="0">
      <alignment vertical="center"/>
      <protection locked="0"/>
    </xf>
    <xf numFmtId="167" fontId="29" fillId="0" borderId="0">
      <alignment vertical="center"/>
      <protection locked="0"/>
    </xf>
    <xf numFmtId="167" fontId="29" fillId="0" borderId="0">
      <alignment vertical="center"/>
      <protection locked="0"/>
    </xf>
    <xf numFmtId="166" fontId="30" fillId="0" borderId="0">
      <alignment vertical="center"/>
    </xf>
    <xf numFmtId="0" fontId="24" fillId="0" borderId="0"/>
    <xf numFmtId="166" fontId="25" fillId="0" borderId="0">
      <alignment vertical="center"/>
    </xf>
    <xf numFmtId="166" fontId="31" fillId="0" borderId="0">
      <alignment vertical="center"/>
    </xf>
    <xf numFmtId="166" fontId="31" fillId="0" borderId="0">
      <alignment vertical="center"/>
    </xf>
    <xf numFmtId="166" fontId="31" fillId="0" borderId="0">
      <alignment vertical="center"/>
    </xf>
    <xf numFmtId="166" fontId="31" fillId="0" borderId="0">
      <alignment vertical="center"/>
    </xf>
    <xf numFmtId="166" fontId="25" fillId="0" borderId="0">
      <alignment vertical="center"/>
    </xf>
    <xf numFmtId="166" fontId="25" fillId="0" borderId="0">
      <alignment vertical="center"/>
    </xf>
    <xf numFmtId="166" fontId="25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166" fontId="33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166" fontId="30" fillId="6" borderId="7" applyProtection="0">
      <alignment horizontal="right" vertical="center"/>
    </xf>
    <xf numFmtId="166" fontId="30" fillId="6" borderId="7" applyProtection="0">
      <alignment horizontal="right" vertical="center"/>
    </xf>
    <xf numFmtId="166" fontId="30" fillId="6" borderId="7" applyProtection="0">
      <alignment horizontal="right" vertical="center"/>
    </xf>
    <xf numFmtId="166" fontId="30" fillId="6" borderId="7" applyProtection="0">
      <alignment horizontal="right"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35" fillId="2" borderId="8">
      <alignment horizontal="left" vertical="top" wrapText="1"/>
    </xf>
    <xf numFmtId="166" fontId="35" fillId="2" borderId="8">
      <alignment horizontal="left" vertical="top" wrapText="1"/>
    </xf>
    <xf numFmtId="166" fontId="35" fillId="2" borderId="8">
      <alignment horizontal="left" vertical="top" wrapText="1"/>
    </xf>
    <xf numFmtId="166" fontId="35" fillId="2" borderId="8">
      <alignment horizontal="left" vertical="top" wrapText="1"/>
    </xf>
    <xf numFmtId="166" fontId="35" fillId="2" borderId="8">
      <alignment horizontal="left" vertical="top" wrapText="1"/>
    </xf>
    <xf numFmtId="166" fontId="35" fillId="2" borderId="8">
      <alignment horizontal="left" vertical="top" wrapText="1"/>
    </xf>
    <xf numFmtId="166" fontId="35" fillId="2" borderId="8">
      <alignment horizontal="left" vertical="top" wrapText="1"/>
    </xf>
    <xf numFmtId="166" fontId="35" fillId="2" borderId="8">
      <alignment horizontal="left" vertical="top" wrapText="1"/>
    </xf>
    <xf numFmtId="166" fontId="35" fillId="2" borderId="8">
      <alignment horizontal="left" vertical="top" wrapText="1"/>
    </xf>
    <xf numFmtId="166" fontId="35" fillId="2" borderId="8">
      <alignment horizontal="left" vertical="top" wrapText="1"/>
    </xf>
    <xf numFmtId="166" fontId="35" fillId="2" borderId="8">
      <alignment horizontal="left" vertical="top" wrapText="1"/>
    </xf>
    <xf numFmtId="166" fontId="35" fillId="2" borderId="8">
      <alignment horizontal="left" vertical="top" wrapText="1"/>
    </xf>
    <xf numFmtId="166" fontId="35" fillId="2" borderId="8">
      <alignment horizontal="left" vertical="top" wrapText="1"/>
    </xf>
    <xf numFmtId="166" fontId="35" fillId="2" borderId="8">
      <alignment horizontal="left" vertical="top" wrapText="1"/>
    </xf>
    <xf numFmtId="166" fontId="35" fillId="2" borderId="8">
      <alignment horizontal="left" vertical="top" wrapText="1"/>
    </xf>
    <xf numFmtId="166" fontId="35" fillId="2" borderId="8">
      <alignment horizontal="left" vertical="top" wrapText="1"/>
    </xf>
    <xf numFmtId="166" fontId="35" fillId="2" borderId="8">
      <alignment horizontal="left" vertical="top" wrapText="1"/>
    </xf>
    <xf numFmtId="166" fontId="35" fillId="2" borderId="8">
      <alignment horizontal="left" vertical="top" wrapText="1"/>
    </xf>
    <xf numFmtId="168" fontId="36" fillId="16" borderId="8">
      <alignment horizontal="right" vertical="top" wrapText="1"/>
    </xf>
    <xf numFmtId="168" fontId="36" fillId="16" borderId="8">
      <alignment horizontal="right" vertical="top" wrapText="1"/>
    </xf>
    <xf numFmtId="168" fontId="36" fillId="16" borderId="8">
      <alignment horizontal="right" vertical="top" wrapText="1"/>
    </xf>
    <xf numFmtId="168" fontId="36" fillId="16" borderId="8">
      <alignment horizontal="right" vertical="top" wrapText="1"/>
    </xf>
    <xf numFmtId="168" fontId="36" fillId="16" borderId="8">
      <alignment horizontal="right" vertical="top" wrapText="1"/>
    </xf>
    <xf numFmtId="168" fontId="36" fillId="16" borderId="8">
      <alignment horizontal="right" vertical="top" wrapText="1"/>
    </xf>
    <xf numFmtId="168" fontId="36" fillId="16" borderId="8">
      <alignment horizontal="right" vertical="top" wrapText="1"/>
    </xf>
    <xf numFmtId="168" fontId="36" fillId="16" borderId="8">
      <alignment horizontal="right" vertical="top" wrapText="1"/>
    </xf>
    <xf numFmtId="168" fontId="36" fillId="16" borderId="8">
      <alignment horizontal="right" vertical="top" wrapText="1"/>
    </xf>
    <xf numFmtId="168" fontId="36" fillId="16" borderId="8">
      <alignment horizontal="right" vertical="top" wrapText="1"/>
    </xf>
    <xf numFmtId="168" fontId="36" fillId="16" borderId="8">
      <alignment horizontal="right" vertical="top" wrapText="1"/>
    </xf>
    <xf numFmtId="168" fontId="36" fillId="16" borderId="8">
      <alignment horizontal="right" vertical="top" wrapText="1"/>
    </xf>
    <xf numFmtId="168" fontId="36" fillId="16" borderId="8">
      <alignment horizontal="right" vertical="top" wrapText="1"/>
    </xf>
    <xf numFmtId="168" fontId="36" fillId="16" borderId="8">
      <alignment horizontal="right" vertical="top" wrapText="1"/>
    </xf>
    <xf numFmtId="168" fontId="36" fillId="16" borderId="8">
      <alignment horizontal="right" vertical="top" wrapText="1"/>
    </xf>
    <xf numFmtId="168" fontId="36" fillId="16" borderId="8">
      <alignment horizontal="right" vertical="top" wrapText="1"/>
    </xf>
    <xf numFmtId="168" fontId="36" fillId="16" borderId="8">
      <alignment horizontal="right" vertical="top" wrapText="1"/>
    </xf>
    <xf numFmtId="168" fontId="36" fillId="16" borderId="8">
      <alignment horizontal="right" vertical="top" wrapText="1"/>
    </xf>
    <xf numFmtId="167" fontId="27" fillId="0" borderId="9">
      <alignment vertical="center"/>
      <protection locked="0"/>
    </xf>
    <xf numFmtId="167" fontId="27" fillId="0" borderId="9">
      <alignment vertical="center"/>
      <protection locked="0"/>
    </xf>
    <xf numFmtId="167" fontId="27" fillId="0" borderId="9">
      <alignment vertical="center"/>
      <protection locked="0"/>
    </xf>
    <xf numFmtId="167" fontId="27" fillId="0" borderId="9">
      <alignment vertical="center"/>
      <protection locked="0"/>
    </xf>
    <xf numFmtId="166" fontId="37" fillId="0" borderId="0" applyNumberFormat="0" applyFill="0" applyBorder="0" applyAlignment="0" applyProtection="0">
      <alignment vertical="top"/>
      <protection locked="0"/>
    </xf>
    <xf numFmtId="169" fontId="18" fillId="0" borderId="0" applyFont="0" applyFill="0" applyBorder="0" applyAlignment="0" applyProtection="0">
      <alignment vertical="center"/>
    </xf>
    <xf numFmtId="169" fontId="18" fillId="0" borderId="0" applyFont="0" applyFill="0" applyBorder="0" applyAlignment="0" applyProtection="0">
      <alignment vertical="center"/>
    </xf>
    <xf numFmtId="170" fontId="24" fillId="0" borderId="0" applyFont="0" applyFill="0" applyBorder="0" applyAlignment="0" applyProtection="0"/>
    <xf numFmtId="171" fontId="25" fillId="0" borderId="0" applyFont="0" applyFill="0" applyBorder="0" applyAlignment="0" applyProtection="0">
      <alignment vertical="center"/>
    </xf>
    <xf numFmtId="171" fontId="25" fillId="0" borderId="0" applyFont="0" applyFill="0" applyBorder="0" applyAlignment="0" applyProtection="0">
      <alignment vertical="center"/>
    </xf>
    <xf numFmtId="171" fontId="25" fillId="0" borderId="0" applyFont="0" applyFill="0" applyBorder="0" applyAlignment="0" applyProtection="0">
      <alignment vertical="center"/>
    </xf>
    <xf numFmtId="171" fontId="25" fillId="0" borderId="0" applyFont="0" applyFill="0" applyBorder="0" applyAlignment="0" applyProtection="0">
      <alignment vertical="center"/>
    </xf>
    <xf numFmtId="170" fontId="24" fillId="0" borderId="0" applyFont="0" applyFill="0" applyBorder="0" applyAlignment="0" applyProtection="0"/>
    <xf numFmtId="170" fontId="24" fillId="0" borderId="0" applyFont="0" applyFill="0" applyBorder="0" applyAlignment="0" applyProtection="0"/>
    <xf numFmtId="170" fontId="24" fillId="0" borderId="0" applyFont="0" applyFill="0" applyBorder="0" applyAlignment="0" applyProtection="0"/>
    <xf numFmtId="171" fontId="18" fillId="0" borderId="0" applyFont="0" applyFill="0" applyBorder="0" applyAlignment="0" applyProtection="0">
      <alignment vertical="center"/>
    </xf>
    <xf numFmtId="171" fontId="25" fillId="0" borderId="0" applyFont="0" applyFill="0" applyBorder="0" applyAlignment="0" applyProtection="0">
      <alignment vertical="center"/>
    </xf>
    <xf numFmtId="171" fontId="25" fillId="0" borderId="0" applyFont="0" applyFill="0" applyBorder="0" applyAlignment="0" applyProtection="0">
      <alignment vertical="center"/>
    </xf>
    <xf numFmtId="171" fontId="25" fillId="0" borderId="0" applyFont="0" applyFill="0" applyBorder="0" applyAlignment="0" applyProtection="0">
      <alignment vertical="center"/>
    </xf>
    <xf numFmtId="171" fontId="25" fillId="0" borderId="0" applyFont="0" applyFill="0" applyBorder="0" applyAlignment="0" applyProtection="0">
      <alignment vertical="center"/>
    </xf>
    <xf numFmtId="164" fontId="34" fillId="0" borderId="0" applyFont="0" applyFill="0" applyBorder="0" applyAlignment="0" applyProtection="0">
      <alignment vertical="center"/>
    </xf>
    <xf numFmtId="165" fontId="34" fillId="0" borderId="0" applyFont="0" applyFill="0" applyBorder="0" applyAlignment="0" applyProtection="0">
      <alignment vertical="center"/>
    </xf>
    <xf numFmtId="172" fontId="34" fillId="0" borderId="0" applyFont="0" applyFill="0" applyBorder="0" applyAlignment="0" applyProtection="0">
      <alignment vertical="center"/>
    </xf>
    <xf numFmtId="173" fontId="34" fillId="0" borderId="0" applyFont="0" applyFill="0" applyBorder="0" applyAlignment="0" applyProtection="0">
      <alignment vertical="center"/>
    </xf>
    <xf numFmtId="166" fontId="38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25" fillId="0" borderId="0">
      <alignment vertical="center"/>
    </xf>
    <xf numFmtId="166" fontId="25" fillId="0" borderId="0">
      <alignment vertical="center"/>
    </xf>
    <xf numFmtId="166" fontId="25" fillId="0" borderId="0">
      <alignment vertical="center"/>
    </xf>
    <xf numFmtId="166" fontId="25" fillId="0" borderId="0">
      <alignment vertical="center"/>
    </xf>
    <xf numFmtId="0" fontId="12" fillId="0" borderId="0"/>
    <xf numFmtId="0" fontId="12" fillId="0" borderId="0"/>
    <xf numFmtId="0" fontId="18" fillId="0" borderId="0"/>
    <xf numFmtId="0" fontId="24" fillId="0" borderId="0">
      <alignment vertical="center"/>
    </xf>
    <xf numFmtId="0" fontId="12" fillId="0" borderId="0" applyProtection="0">
      <alignment vertical="center"/>
    </xf>
    <xf numFmtId="166" fontId="18" fillId="0" borderId="0">
      <alignment vertical="center"/>
    </xf>
    <xf numFmtId="166" fontId="39" fillId="0" borderId="0"/>
    <xf numFmtId="166" fontId="39" fillId="0" borderId="0"/>
    <xf numFmtId="166" fontId="39" fillId="0" borderId="0"/>
    <xf numFmtId="166" fontId="39" fillId="0" borderId="0"/>
    <xf numFmtId="0" fontId="12" fillId="0" borderId="0" applyProtection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8" fillId="0" borderId="0">
      <alignment vertical="center"/>
    </xf>
    <xf numFmtId="0" fontId="24" fillId="0" borderId="0">
      <alignment vertical="center"/>
    </xf>
    <xf numFmtId="166" fontId="25" fillId="0" borderId="0">
      <alignment vertical="center"/>
    </xf>
    <xf numFmtId="166" fontId="25" fillId="0" borderId="0">
      <alignment vertical="center"/>
    </xf>
    <xf numFmtId="166" fontId="25" fillId="0" borderId="0">
      <alignment vertical="center"/>
    </xf>
    <xf numFmtId="166" fontId="25" fillId="0" borderId="0">
      <alignment vertical="center"/>
    </xf>
    <xf numFmtId="166" fontId="40" fillId="0" borderId="0">
      <alignment vertical="center"/>
    </xf>
    <xf numFmtId="166" fontId="25" fillId="0" borderId="0">
      <alignment vertical="center"/>
    </xf>
    <xf numFmtId="166" fontId="25" fillId="0" borderId="0">
      <alignment vertical="center"/>
    </xf>
    <xf numFmtId="166" fontId="25" fillId="0" borderId="0">
      <alignment vertical="center"/>
    </xf>
    <xf numFmtId="166" fontId="25" fillId="0" borderId="0">
      <alignment vertical="center"/>
    </xf>
    <xf numFmtId="0" fontId="41" fillId="0" borderId="0" applyProtection="0"/>
    <xf numFmtId="0" fontId="41" fillId="0" borderId="0" applyProtection="0">
      <alignment vertical="center"/>
    </xf>
    <xf numFmtId="0" fontId="41" fillId="0" borderId="0" applyProtection="0">
      <alignment vertical="center"/>
    </xf>
    <xf numFmtId="0" fontId="41" fillId="0" borderId="0" applyProtection="0">
      <alignment vertical="center"/>
    </xf>
    <xf numFmtId="0" fontId="41" fillId="0" borderId="0" applyProtection="0">
      <alignment vertical="center"/>
    </xf>
    <xf numFmtId="0" fontId="41" fillId="0" borderId="0" applyProtection="0"/>
    <xf numFmtId="166" fontId="42" fillId="0" borderId="0">
      <alignment vertical="center"/>
    </xf>
    <xf numFmtId="0" fontId="41" fillId="0" borderId="0" applyProtection="0"/>
    <xf numFmtId="0" fontId="41" fillId="0" borderId="0" applyProtection="0"/>
    <xf numFmtId="0" fontId="41" fillId="0" borderId="0" applyProtection="0"/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0" fontId="41" fillId="0" borderId="0" applyProtection="0"/>
    <xf numFmtId="0" fontId="41" fillId="0" borderId="0" applyProtection="0">
      <alignment vertical="center"/>
    </xf>
    <xf numFmtId="0" fontId="41" fillId="0" borderId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41" fillId="0" borderId="0"/>
    <xf numFmtId="0" fontId="41" fillId="0" borderId="0"/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0" fontId="41" fillId="0" borderId="0"/>
    <xf numFmtId="166" fontId="18" fillId="0" borderId="0">
      <alignment vertical="top"/>
    </xf>
    <xf numFmtId="0" fontId="41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/>
    <xf numFmtId="0" fontId="12" fillId="0" borderId="0"/>
    <xf numFmtId="166" fontId="18" fillId="0" borderId="0">
      <alignment vertical="center"/>
    </xf>
    <xf numFmtId="0" fontId="12" fillId="0" borderId="0"/>
    <xf numFmtId="166" fontId="18" fillId="0" borderId="0">
      <alignment vertical="center"/>
    </xf>
    <xf numFmtId="0" fontId="24" fillId="0" borderId="0"/>
    <xf numFmtId="0" fontId="18" fillId="0" borderId="0"/>
    <xf numFmtId="0" fontId="18" fillId="0" borderId="0"/>
    <xf numFmtId="0" fontId="18" fillId="0" borderId="0"/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43" fillId="0" borderId="0">
      <alignment vertical="center"/>
    </xf>
    <xf numFmtId="166" fontId="43" fillId="0" borderId="0">
      <alignment vertical="center"/>
    </xf>
    <xf numFmtId="166" fontId="43" fillId="0" borderId="0">
      <alignment vertical="center"/>
    </xf>
    <xf numFmtId="166" fontId="43" fillId="0" borderId="0">
      <alignment vertical="center"/>
    </xf>
    <xf numFmtId="0" fontId="18" fillId="0" borderId="0"/>
    <xf numFmtId="0" fontId="24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0" fontId="24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0" fontId="12" fillId="0" borderId="0">
      <alignment vertical="center"/>
    </xf>
    <xf numFmtId="0" fontId="12" fillId="0" borderId="0"/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0" fontId="12" fillId="0" borderId="0"/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0" fontId="12" fillId="0" borderId="0"/>
    <xf numFmtId="0" fontId="1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166" fontId="12" fillId="0" borderId="0">
      <alignment vertical="center"/>
    </xf>
    <xf numFmtId="174" fontId="18" fillId="0" borderId="0" applyFont="0" applyFill="0" applyBorder="0" applyAlignment="0" applyProtection="0"/>
    <xf numFmtId="174" fontId="18" fillId="0" borderId="0" applyFont="0" applyFill="0" applyBorder="0" applyAlignment="0" applyProtection="0"/>
    <xf numFmtId="174" fontId="18" fillId="0" borderId="0" applyFont="0" applyFill="0" applyBorder="0" applyAlignment="0" applyProtection="0"/>
    <xf numFmtId="166" fontId="18" fillId="0" borderId="0" applyFont="0" applyFill="0" applyBorder="0" applyAlignment="0" applyProtection="0">
      <alignment vertical="center"/>
    </xf>
    <xf numFmtId="174" fontId="18" fillId="0" borderId="0" applyFont="0" applyFill="0" applyBorder="0" applyAlignment="0" applyProtection="0"/>
    <xf numFmtId="166" fontId="44" fillId="17" borderId="10" applyNumberFormat="0" applyAlignment="0" applyProtection="0">
      <alignment vertical="center"/>
    </xf>
    <xf numFmtId="166" fontId="44" fillId="17" borderId="10" applyNumberFormat="0" applyAlignment="0" applyProtection="0">
      <alignment vertical="center"/>
    </xf>
    <xf numFmtId="166" fontId="44" fillId="17" borderId="10" applyNumberFormat="0" applyAlignment="0" applyProtection="0">
      <alignment vertical="center"/>
    </xf>
    <xf numFmtId="166" fontId="44" fillId="17" borderId="10" applyNumberFormat="0" applyAlignment="0" applyProtection="0">
      <alignment vertical="center"/>
    </xf>
    <xf numFmtId="166" fontId="45" fillId="0" borderId="11" applyNumberFormat="0" applyFill="0" applyAlignment="0" applyProtection="0">
      <alignment vertical="center"/>
    </xf>
    <xf numFmtId="166" fontId="45" fillId="0" borderId="11" applyNumberFormat="0" applyFill="0" applyAlignment="0" applyProtection="0">
      <alignment vertical="center"/>
    </xf>
    <xf numFmtId="166" fontId="45" fillId="0" borderId="11" applyNumberFormat="0" applyFill="0" applyAlignment="0" applyProtection="0">
      <alignment vertical="center"/>
    </xf>
    <xf numFmtId="166" fontId="45" fillId="0" borderId="11" applyNumberFormat="0" applyFill="0" applyAlignment="0" applyProtection="0">
      <alignment vertical="center"/>
    </xf>
    <xf numFmtId="166" fontId="46" fillId="3" borderId="0" applyNumberFormat="0" applyBorder="0" applyAlignment="0" applyProtection="0">
      <alignment vertical="center"/>
    </xf>
    <xf numFmtId="166" fontId="46" fillId="3" borderId="0" applyNumberFormat="0" applyBorder="0" applyAlignment="0" applyProtection="0">
      <alignment vertical="center"/>
    </xf>
    <xf numFmtId="166" fontId="46" fillId="3" borderId="0" applyNumberFormat="0" applyBorder="0" applyAlignment="0" applyProtection="0">
      <alignment vertical="center"/>
    </xf>
    <xf numFmtId="166" fontId="46" fillId="3" borderId="0" applyNumberFormat="0" applyBorder="0" applyAlignment="0" applyProtection="0">
      <alignment vertical="center"/>
    </xf>
    <xf numFmtId="166" fontId="47" fillId="18" borderId="12" applyNumberFormat="0" applyAlignment="0" applyProtection="0">
      <alignment vertical="center"/>
    </xf>
    <xf numFmtId="166" fontId="47" fillId="18" borderId="12" applyNumberFormat="0" applyAlignment="0" applyProtection="0">
      <alignment vertical="center"/>
    </xf>
    <xf numFmtId="166" fontId="47" fillId="18" borderId="12" applyNumberFormat="0" applyAlignment="0" applyProtection="0">
      <alignment vertical="center"/>
    </xf>
    <xf numFmtId="166" fontId="47" fillId="18" borderId="12" applyNumberFormat="0" applyAlignment="0" applyProtection="0">
      <alignment vertical="center"/>
    </xf>
    <xf numFmtId="166" fontId="47" fillId="18" borderId="12" applyNumberFormat="0" applyAlignment="0" applyProtection="0">
      <alignment vertical="center"/>
    </xf>
    <xf numFmtId="166" fontId="47" fillId="18" borderId="12" applyNumberFormat="0" applyAlignment="0" applyProtection="0">
      <alignment vertical="center"/>
    </xf>
    <xf numFmtId="166" fontId="47" fillId="18" borderId="12" applyNumberFormat="0" applyAlignment="0" applyProtection="0">
      <alignment vertical="center"/>
    </xf>
    <xf numFmtId="166" fontId="47" fillId="18" borderId="12" applyNumberFormat="0" applyAlignment="0" applyProtection="0">
      <alignment vertical="center"/>
    </xf>
    <xf numFmtId="166" fontId="48" fillId="18" borderId="13" applyNumberFormat="0" applyAlignment="0" applyProtection="0">
      <alignment vertical="center"/>
    </xf>
    <xf numFmtId="166" fontId="48" fillId="18" borderId="13" applyNumberFormat="0" applyAlignment="0" applyProtection="0">
      <alignment vertical="center"/>
    </xf>
    <xf numFmtId="166" fontId="48" fillId="18" borderId="13" applyNumberFormat="0" applyAlignment="0" applyProtection="0">
      <alignment vertical="center"/>
    </xf>
    <xf numFmtId="166" fontId="48" fillId="18" borderId="13" applyNumberFormat="0" applyAlignment="0" applyProtection="0">
      <alignment vertical="center"/>
    </xf>
    <xf numFmtId="166" fontId="48" fillId="18" borderId="13" applyNumberFormat="0" applyAlignment="0" applyProtection="0">
      <alignment vertical="center"/>
    </xf>
    <xf numFmtId="166" fontId="48" fillId="18" borderId="13" applyNumberFormat="0" applyAlignment="0" applyProtection="0">
      <alignment vertical="center"/>
    </xf>
    <xf numFmtId="166" fontId="48" fillId="18" borderId="13" applyNumberFormat="0" applyAlignment="0" applyProtection="0">
      <alignment vertical="center"/>
    </xf>
    <xf numFmtId="166" fontId="48" fillId="18" borderId="13" applyNumberFormat="0" applyAlignment="0" applyProtection="0">
      <alignment vertical="center"/>
    </xf>
    <xf numFmtId="166" fontId="49" fillId="0" borderId="0" applyNumberFormat="0" applyFill="0" applyBorder="0" applyAlignment="0" applyProtection="0">
      <alignment vertical="center"/>
    </xf>
    <xf numFmtId="166" fontId="49" fillId="0" borderId="0" applyNumberFormat="0" applyFill="0" applyBorder="0" applyAlignment="0" applyProtection="0">
      <alignment vertical="center"/>
    </xf>
    <xf numFmtId="166" fontId="49" fillId="0" borderId="0" applyNumberFormat="0" applyFill="0" applyBorder="0" applyAlignment="0" applyProtection="0">
      <alignment vertical="center"/>
    </xf>
    <xf numFmtId="166" fontId="49" fillId="0" borderId="0" applyNumberFormat="0" applyFill="0" applyBorder="0" applyAlignment="0" applyProtection="0">
      <alignment vertical="center"/>
    </xf>
    <xf numFmtId="166" fontId="50" fillId="0" borderId="0" applyNumberFormat="0" applyFill="0" applyBorder="0" applyAlignment="0" applyProtection="0">
      <alignment vertical="center"/>
    </xf>
    <xf numFmtId="166" fontId="50" fillId="0" borderId="0" applyNumberFormat="0" applyFill="0" applyBorder="0" applyAlignment="0" applyProtection="0">
      <alignment vertical="center"/>
    </xf>
    <xf numFmtId="166" fontId="50" fillId="0" borderId="0" applyNumberFormat="0" applyFill="0" applyBorder="0" applyAlignment="0" applyProtection="0">
      <alignment vertical="center"/>
    </xf>
    <xf numFmtId="166" fontId="50" fillId="0" borderId="0" applyNumberFormat="0" applyFill="0" applyBorder="0" applyAlignment="0" applyProtection="0">
      <alignment vertical="center"/>
    </xf>
    <xf numFmtId="166" fontId="51" fillId="0" borderId="0" applyNumberFormat="0" applyFill="0" applyBorder="0" applyAlignment="0" applyProtection="0">
      <alignment vertical="center"/>
    </xf>
    <xf numFmtId="166" fontId="51" fillId="0" borderId="0" applyNumberFormat="0" applyFill="0" applyBorder="0" applyAlignment="0" applyProtection="0">
      <alignment vertical="center"/>
    </xf>
    <xf numFmtId="166" fontId="51" fillId="0" borderId="0" applyNumberFormat="0" applyFill="0" applyBorder="0" applyAlignment="0" applyProtection="0">
      <alignment vertical="center"/>
    </xf>
    <xf numFmtId="166" fontId="51" fillId="0" borderId="0" applyNumberFormat="0" applyFill="0" applyBorder="0" applyAlignment="0" applyProtection="0">
      <alignment vertical="center"/>
    </xf>
    <xf numFmtId="166" fontId="52" fillId="4" borderId="0" applyNumberFormat="0" applyBorder="0" applyAlignment="0" applyProtection="0">
      <alignment vertical="center"/>
    </xf>
    <xf numFmtId="166" fontId="52" fillId="4" borderId="0" applyNumberFormat="0" applyBorder="0" applyAlignment="0" applyProtection="0">
      <alignment vertical="center"/>
    </xf>
    <xf numFmtId="166" fontId="52" fillId="4" borderId="0" applyNumberFormat="0" applyBorder="0" applyAlignment="0" applyProtection="0">
      <alignment vertical="center"/>
    </xf>
    <xf numFmtId="166" fontId="52" fillId="4" borderId="0" applyNumberFormat="0" applyBorder="0" applyAlignment="0" applyProtection="0">
      <alignment vertical="center"/>
    </xf>
    <xf numFmtId="166" fontId="53" fillId="7" borderId="13" applyNumberFormat="0" applyAlignment="0" applyProtection="0">
      <alignment vertical="center"/>
    </xf>
    <xf numFmtId="166" fontId="53" fillId="7" borderId="13" applyNumberFormat="0" applyAlignment="0" applyProtection="0">
      <alignment vertical="center"/>
    </xf>
    <xf numFmtId="166" fontId="53" fillId="7" borderId="13" applyNumberFormat="0" applyAlignment="0" applyProtection="0">
      <alignment vertical="center"/>
    </xf>
    <xf numFmtId="166" fontId="53" fillId="7" borderId="13" applyNumberFormat="0" applyAlignment="0" applyProtection="0">
      <alignment vertical="center"/>
    </xf>
    <xf numFmtId="166" fontId="53" fillId="7" borderId="13" applyNumberFormat="0" applyAlignment="0" applyProtection="0">
      <alignment vertical="center"/>
    </xf>
    <xf numFmtId="166" fontId="53" fillId="7" borderId="13" applyNumberFormat="0" applyAlignment="0" applyProtection="0">
      <alignment vertical="center"/>
    </xf>
    <xf numFmtId="166" fontId="53" fillId="7" borderId="13" applyNumberFormat="0" applyAlignment="0" applyProtection="0">
      <alignment vertical="center"/>
    </xf>
    <xf numFmtId="166" fontId="53" fillId="7" borderId="13" applyNumberFormat="0" applyAlignment="0" applyProtection="0">
      <alignment vertical="center"/>
    </xf>
    <xf numFmtId="166" fontId="54" fillId="19" borderId="0" applyNumberFormat="0" applyBorder="0" applyAlignment="0" applyProtection="0">
      <alignment vertical="center"/>
    </xf>
    <xf numFmtId="166" fontId="54" fillId="19" borderId="0" applyNumberFormat="0" applyBorder="0" applyAlignment="0" applyProtection="0">
      <alignment vertical="center"/>
    </xf>
    <xf numFmtId="166" fontId="54" fillId="19" borderId="0" applyNumberFormat="0" applyBorder="0" applyAlignment="0" applyProtection="0">
      <alignment vertical="center"/>
    </xf>
    <xf numFmtId="166" fontId="54" fillId="19" borderId="0" applyNumberFormat="0" applyBorder="0" applyAlignment="0" applyProtection="0">
      <alignment vertical="center"/>
    </xf>
    <xf numFmtId="166" fontId="55" fillId="0" borderId="14" applyNumberFormat="0" applyFill="0" applyAlignment="0" applyProtection="0">
      <alignment vertical="center"/>
    </xf>
    <xf numFmtId="166" fontId="55" fillId="0" borderId="14" applyNumberFormat="0" applyFill="0" applyAlignment="0" applyProtection="0">
      <alignment vertical="center"/>
    </xf>
    <xf numFmtId="166" fontId="55" fillId="0" borderId="14" applyNumberFormat="0" applyFill="0" applyAlignment="0" applyProtection="0">
      <alignment vertical="center"/>
    </xf>
    <xf numFmtId="166" fontId="55" fillId="0" borderId="14" applyNumberFormat="0" applyFill="0" applyAlignment="0" applyProtection="0">
      <alignment vertical="center"/>
    </xf>
    <xf numFmtId="166" fontId="55" fillId="0" borderId="14" applyNumberFormat="0" applyFill="0" applyAlignment="0" applyProtection="0">
      <alignment vertical="center"/>
    </xf>
    <xf numFmtId="166" fontId="55" fillId="0" borderId="14" applyNumberFormat="0" applyFill="0" applyAlignment="0" applyProtection="0">
      <alignment vertical="center"/>
    </xf>
    <xf numFmtId="166" fontId="55" fillId="0" borderId="14" applyNumberFormat="0" applyFill="0" applyAlignment="0" applyProtection="0">
      <alignment vertical="center"/>
    </xf>
    <xf numFmtId="166" fontId="55" fillId="0" borderId="14" applyNumberFormat="0" applyFill="0" applyAlignment="0" applyProtection="0">
      <alignment vertical="center"/>
    </xf>
    <xf numFmtId="166" fontId="26" fillId="20" borderId="0" applyNumberFormat="0" applyBorder="0" applyAlignment="0" applyProtection="0">
      <alignment vertical="center"/>
    </xf>
    <xf numFmtId="166" fontId="26" fillId="20" borderId="0" applyNumberFormat="0" applyBorder="0" applyAlignment="0" applyProtection="0">
      <alignment vertical="center"/>
    </xf>
    <xf numFmtId="166" fontId="26" fillId="20" borderId="0" applyNumberFormat="0" applyBorder="0" applyAlignment="0" applyProtection="0">
      <alignment vertical="center"/>
    </xf>
    <xf numFmtId="166" fontId="26" fillId="20" borderId="0" applyNumberFormat="0" applyBorder="0" applyAlignment="0" applyProtection="0">
      <alignment vertical="center"/>
    </xf>
    <xf numFmtId="166" fontId="26" fillId="21" borderId="0" applyNumberFormat="0" applyBorder="0" applyAlignment="0" applyProtection="0">
      <alignment vertical="center"/>
    </xf>
    <xf numFmtId="166" fontId="26" fillId="21" borderId="0" applyNumberFormat="0" applyBorder="0" applyAlignment="0" applyProtection="0">
      <alignment vertical="center"/>
    </xf>
    <xf numFmtId="166" fontId="26" fillId="21" borderId="0" applyNumberFormat="0" applyBorder="0" applyAlignment="0" applyProtection="0">
      <alignment vertical="center"/>
    </xf>
    <xf numFmtId="166" fontId="26" fillId="21" borderId="0" applyNumberFormat="0" applyBorder="0" applyAlignment="0" applyProtection="0">
      <alignment vertical="center"/>
    </xf>
    <xf numFmtId="166" fontId="26" fillId="22" borderId="0" applyNumberFormat="0" applyBorder="0" applyAlignment="0" applyProtection="0">
      <alignment vertical="center"/>
    </xf>
    <xf numFmtId="166" fontId="26" fillId="22" borderId="0" applyNumberFormat="0" applyBorder="0" applyAlignment="0" applyProtection="0">
      <alignment vertical="center"/>
    </xf>
    <xf numFmtId="166" fontId="26" fillId="22" borderId="0" applyNumberFormat="0" applyBorder="0" applyAlignment="0" applyProtection="0">
      <alignment vertical="center"/>
    </xf>
    <xf numFmtId="166" fontId="26" fillId="22" borderId="0" applyNumberFormat="0" applyBorder="0" applyAlignment="0" applyProtection="0">
      <alignment vertical="center"/>
    </xf>
    <xf numFmtId="166" fontId="26" fillId="13" borderId="0" applyNumberFormat="0" applyBorder="0" applyAlignment="0" applyProtection="0">
      <alignment vertical="center"/>
    </xf>
    <xf numFmtId="166" fontId="26" fillId="13" borderId="0" applyNumberFormat="0" applyBorder="0" applyAlignment="0" applyProtection="0">
      <alignment vertical="center"/>
    </xf>
    <xf numFmtId="166" fontId="26" fillId="13" borderId="0" applyNumberFormat="0" applyBorder="0" applyAlignment="0" applyProtection="0">
      <alignment vertical="center"/>
    </xf>
    <xf numFmtId="166" fontId="26" fillId="13" borderId="0" applyNumberFormat="0" applyBorder="0" applyAlignment="0" applyProtection="0">
      <alignment vertical="center"/>
    </xf>
    <xf numFmtId="166" fontId="26" fillId="14" borderId="0" applyNumberFormat="0" applyBorder="0" applyAlignment="0" applyProtection="0">
      <alignment vertical="center"/>
    </xf>
    <xf numFmtId="166" fontId="26" fillId="14" borderId="0" applyNumberFormat="0" applyBorder="0" applyAlignment="0" applyProtection="0">
      <alignment vertical="center"/>
    </xf>
    <xf numFmtId="166" fontId="26" fillId="14" borderId="0" applyNumberFormat="0" applyBorder="0" applyAlignment="0" applyProtection="0">
      <alignment vertical="center"/>
    </xf>
    <xf numFmtId="166" fontId="26" fillId="14" borderId="0" applyNumberFormat="0" applyBorder="0" applyAlignment="0" applyProtection="0">
      <alignment vertical="center"/>
    </xf>
    <xf numFmtId="166" fontId="26" fillId="23" borderId="0" applyNumberFormat="0" applyBorder="0" applyAlignment="0" applyProtection="0">
      <alignment vertical="center"/>
    </xf>
    <xf numFmtId="166" fontId="26" fillId="23" borderId="0" applyNumberFormat="0" applyBorder="0" applyAlignment="0" applyProtection="0">
      <alignment vertical="center"/>
    </xf>
    <xf numFmtId="166" fontId="26" fillId="23" borderId="0" applyNumberFormat="0" applyBorder="0" applyAlignment="0" applyProtection="0">
      <alignment vertical="center"/>
    </xf>
    <xf numFmtId="166" fontId="26" fillId="23" borderId="0" applyNumberFormat="0" applyBorder="0" applyAlignment="0" applyProtection="0">
      <alignment vertical="center"/>
    </xf>
    <xf numFmtId="166" fontId="12" fillId="24" borderId="15" applyNumberFormat="0" applyFont="0" applyAlignment="0" applyProtection="0">
      <alignment vertical="center"/>
    </xf>
    <xf numFmtId="166" fontId="12" fillId="24" borderId="15" applyNumberFormat="0" applyFont="0" applyAlignment="0" applyProtection="0">
      <alignment vertical="center"/>
    </xf>
    <xf numFmtId="166" fontId="12" fillId="24" borderId="15" applyNumberFormat="0" applyFont="0" applyAlignment="0" applyProtection="0">
      <alignment vertical="center"/>
    </xf>
    <xf numFmtId="166" fontId="12" fillId="24" borderId="15" applyNumberFormat="0" applyFont="0" applyAlignment="0" applyProtection="0">
      <alignment vertical="center"/>
    </xf>
    <xf numFmtId="166" fontId="12" fillId="24" borderId="15" applyNumberFormat="0" applyFont="0" applyAlignment="0" applyProtection="0">
      <alignment vertical="center"/>
    </xf>
    <xf numFmtId="166" fontId="12" fillId="24" borderId="15" applyNumberFormat="0" applyFont="0" applyAlignment="0" applyProtection="0">
      <alignment vertical="center"/>
    </xf>
    <xf numFmtId="166" fontId="12" fillId="24" borderId="15" applyNumberFormat="0" applyFont="0" applyAlignment="0" applyProtection="0">
      <alignment vertical="center"/>
    </xf>
    <xf numFmtId="166" fontId="12" fillId="24" borderId="15" applyNumberFormat="0" applyFont="0" applyAlignment="0" applyProtection="0">
      <alignment vertical="center"/>
    </xf>
    <xf numFmtId="166" fontId="56" fillId="0" borderId="16" applyNumberFormat="0" applyFill="0" applyAlignment="0" applyProtection="0">
      <alignment vertical="center"/>
    </xf>
    <xf numFmtId="166" fontId="56" fillId="0" borderId="16" applyNumberFormat="0" applyFill="0" applyAlignment="0" applyProtection="0">
      <alignment vertical="center"/>
    </xf>
    <xf numFmtId="166" fontId="56" fillId="0" borderId="16" applyNumberFormat="0" applyFill="0" applyAlignment="0" applyProtection="0">
      <alignment vertical="center"/>
    </xf>
    <xf numFmtId="166" fontId="56" fillId="0" borderId="16" applyNumberFormat="0" applyFill="0" applyAlignment="0" applyProtection="0">
      <alignment vertical="center"/>
    </xf>
    <xf numFmtId="166" fontId="57" fillId="0" borderId="17" applyNumberFormat="0" applyFill="0" applyAlignment="0" applyProtection="0">
      <alignment vertical="center"/>
    </xf>
    <xf numFmtId="166" fontId="57" fillId="0" borderId="17" applyNumberFormat="0" applyFill="0" applyAlignment="0" applyProtection="0">
      <alignment vertical="center"/>
    </xf>
    <xf numFmtId="166" fontId="57" fillId="0" borderId="17" applyNumberFormat="0" applyFill="0" applyAlignment="0" applyProtection="0">
      <alignment vertical="center"/>
    </xf>
    <xf numFmtId="166" fontId="57" fillId="0" borderId="17" applyNumberFormat="0" applyFill="0" applyAlignment="0" applyProtection="0">
      <alignment vertical="center"/>
    </xf>
    <xf numFmtId="166" fontId="58" fillId="0" borderId="18" applyNumberFormat="0" applyFill="0" applyAlignment="0" applyProtection="0">
      <alignment vertical="center"/>
    </xf>
    <xf numFmtId="166" fontId="58" fillId="0" borderId="18" applyNumberFormat="0" applyFill="0" applyAlignment="0" applyProtection="0">
      <alignment vertical="center"/>
    </xf>
    <xf numFmtId="166" fontId="58" fillId="0" borderId="18" applyNumberFormat="0" applyFill="0" applyAlignment="0" applyProtection="0">
      <alignment vertical="center"/>
    </xf>
    <xf numFmtId="166" fontId="58" fillId="0" borderId="18" applyNumberFormat="0" applyFill="0" applyAlignment="0" applyProtection="0">
      <alignment vertical="center"/>
    </xf>
    <xf numFmtId="166" fontId="58" fillId="0" borderId="18" applyNumberFormat="0" applyFill="0" applyAlignment="0" applyProtection="0">
      <alignment vertical="center"/>
    </xf>
    <xf numFmtId="166" fontId="58" fillId="0" borderId="18" applyNumberFormat="0" applyFill="0" applyAlignment="0" applyProtection="0">
      <alignment vertical="center"/>
    </xf>
    <xf numFmtId="166" fontId="58" fillId="0" borderId="18" applyNumberFormat="0" applyFill="0" applyAlignment="0" applyProtection="0">
      <alignment vertical="center"/>
    </xf>
    <xf numFmtId="166" fontId="58" fillId="0" borderId="18" applyNumberFormat="0" applyFill="0" applyAlignment="0" applyProtection="0">
      <alignment vertical="center"/>
    </xf>
    <xf numFmtId="166" fontId="58" fillId="0" borderId="18" applyNumberFormat="0" applyFill="0" applyAlignment="0" applyProtection="0">
      <alignment vertical="center"/>
    </xf>
    <xf numFmtId="166" fontId="58" fillId="0" borderId="18" applyNumberFormat="0" applyFill="0" applyAlignment="0" applyProtection="0">
      <alignment vertical="center"/>
    </xf>
    <xf numFmtId="166" fontId="58" fillId="0" borderId="0" applyNumberFormat="0" applyFill="0" applyBorder="0" applyAlignment="0" applyProtection="0">
      <alignment vertical="center"/>
    </xf>
    <xf numFmtId="166" fontId="58" fillId="0" borderId="0" applyNumberFormat="0" applyFill="0" applyBorder="0" applyAlignment="0" applyProtection="0">
      <alignment vertical="center"/>
    </xf>
    <xf numFmtId="166" fontId="58" fillId="0" borderId="0" applyNumberFormat="0" applyFill="0" applyBorder="0" applyAlignment="0" applyProtection="0">
      <alignment vertical="center"/>
    </xf>
    <xf numFmtId="166" fontId="58" fillId="0" borderId="0" applyNumberFormat="0" applyFill="0" applyBorder="0" applyAlignment="0" applyProtection="0">
      <alignment vertical="center"/>
    </xf>
    <xf numFmtId="166" fontId="18" fillId="0" borderId="0" applyFont="0" applyFill="0" applyBorder="0" applyAlignment="0" applyProtection="0">
      <alignment vertical="center"/>
    </xf>
    <xf numFmtId="166" fontId="59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166" fontId="60" fillId="0" borderId="0">
      <alignment vertical="center"/>
    </xf>
    <xf numFmtId="0" fontId="1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0" fontId="61" fillId="0" borderId="0"/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0" fontId="24" fillId="0" borderId="0"/>
    <xf numFmtId="0" fontId="24" fillId="0" borderId="0"/>
    <xf numFmtId="0" fontId="24" fillId="0" borderId="0"/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0" fontId="61" fillId="0" borderId="0"/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0" fontId="24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24" fillId="0" borderId="0">
      <alignment vertical="center"/>
    </xf>
    <xf numFmtId="0" fontId="12" fillId="0" borderId="0"/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0" fontId="12" fillId="0" borderId="0"/>
    <xf numFmtId="166" fontId="62" fillId="0" borderId="0">
      <alignment vertical="center"/>
    </xf>
    <xf numFmtId="166" fontId="62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4" fillId="0" borderId="0">
      <alignment vertical="center"/>
    </xf>
    <xf numFmtId="166" fontId="24" fillId="0" borderId="0">
      <alignment vertical="center"/>
    </xf>
    <xf numFmtId="166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63" fillId="0" borderId="0"/>
    <xf numFmtId="0" fontId="24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24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64" fillId="0" borderId="19" applyNumberFormat="0" applyFill="0" applyAlignment="0" applyProtection="0">
      <alignment vertical="center"/>
    </xf>
    <xf numFmtId="166" fontId="64" fillId="0" borderId="19" applyNumberFormat="0" applyFill="0" applyAlignment="0" applyProtection="0">
      <alignment vertical="center"/>
    </xf>
    <xf numFmtId="166" fontId="24" fillId="24" borderId="15" applyNumberFormat="0" applyFont="0" applyAlignment="0" applyProtection="0">
      <alignment vertical="center"/>
    </xf>
    <xf numFmtId="166" fontId="24" fillId="24" borderId="15" applyNumberFormat="0" applyFont="0" applyAlignment="0" applyProtection="0">
      <alignment vertical="center"/>
    </xf>
    <xf numFmtId="166" fontId="65" fillId="16" borderId="13" applyNumberFormat="0" applyAlignment="0" applyProtection="0">
      <alignment vertical="center"/>
    </xf>
    <xf numFmtId="166" fontId="65" fillId="16" borderId="13" applyNumberFormat="0" applyAlignment="0" applyProtection="0">
      <alignment vertical="center"/>
    </xf>
    <xf numFmtId="166" fontId="66" fillId="7" borderId="13" applyNumberFormat="0" applyAlignment="0" applyProtection="0">
      <alignment vertical="center"/>
    </xf>
    <xf numFmtId="166" fontId="66" fillId="7" borderId="13" applyNumberFormat="0" applyAlignment="0" applyProtection="0">
      <alignment vertical="center"/>
    </xf>
    <xf numFmtId="166" fontId="64" fillId="16" borderId="12" applyNumberFormat="0" applyAlignment="0" applyProtection="0">
      <alignment vertical="center"/>
    </xf>
    <xf numFmtId="166" fontId="64" fillId="16" borderId="12" applyNumberFormat="0" applyAlignment="0" applyProtection="0">
      <alignment vertical="center"/>
    </xf>
    <xf numFmtId="43" fontId="1" fillId="0" borderId="0" applyFont="0" applyFill="0" applyBorder="0" applyAlignment="0" applyProtection="0"/>
    <xf numFmtId="0" fontId="72" fillId="0" borderId="0"/>
    <xf numFmtId="0" fontId="74" fillId="0" borderId="0">
      <alignment vertical="center"/>
    </xf>
    <xf numFmtId="0" fontId="71" fillId="0" borderId="0"/>
    <xf numFmtId="0" fontId="71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5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6" fillId="0" borderId="0" applyProtection="0">
      <alignment vertical="center"/>
    </xf>
    <xf numFmtId="0" fontId="77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175" fontId="70" fillId="0" borderId="0" applyFont="0" applyFill="0" applyBorder="0" applyAlignment="0" applyProtection="0"/>
    <xf numFmtId="0" fontId="70" fillId="0" borderId="0">
      <alignment vertical="center"/>
    </xf>
    <xf numFmtId="0" fontId="69" fillId="0" borderId="0" applyProtection="0">
      <alignment vertical="center"/>
    </xf>
    <xf numFmtId="0" fontId="76" fillId="0" borderId="0" applyProtection="0"/>
    <xf numFmtId="0" fontId="76" fillId="0" borderId="0" applyProtection="0"/>
    <xf numFmtId="0" fontId="76" fillId="0" borderId="0" applyProtection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6" fillId="0" borderId="0"/>
    <xf numFmtId="0" fontId="70" fillId="0" borderId="0">
      <alignment vertical="center"/>
    </xf>
    <xf numFmtId="0" fontId="70" fillId="0" borderId="0">
      <alignment vertical="center"/>
    </xf>
    <xf numFmtId="0" fontId="70" fillId="0" borderId="0"/>
    <xf numFmtId="0" fontId="69" fillId="0" borderId="0"/>
    <xf numFmtId="0" fontId="77" fillId="0" borderId="0"/>
    <xf numFmtId="0" fontId="70" fillId="0" borderId="0">
      <alignment vertical="center"/>
    </xf>
    <xf numFmtId="0" fontId="69" fillId="0" borderId="0"/>
    <xf numFmtId="0" fontId="69" fillId="0" borderId="0"/>
    <xf numFmtId="174" fontId="77" fillId="0" borderId="0" applyFont="0" applyFill="0" applyBorder="0" applyAlignment="0" applyProtection="0"/>
    <xf numFmtId="0" fontId="78" fillId="0" borderId="0"/>
    <xf numFmtId="0" fontId="69" fillId="0" borderId="0"/>
    <xf numFmtId="0" fontId="76" fillId="0" borderId="0"/>
    <xf numFmtId="174" fontId="77" fillId="0" borderId="0" applyFont="0" applyFill="0" applyBorder="0" applyAlignment="0" applyProtection="0"/>
    <xf numFmtId="0" fontId="76" fillId="0" borderId="0" applyProtection="0">
      <alignment vertical="center"/>
    </xf>
    <xf numFmtId="0" fontId="76" fillId="0" borderId="0" applyProtection="0"/>
    <xf numFmtId="0" fontId="79" fillId="0" borderId="0"/>
    <xf numFmtId="0" fontId="79" fillId="0" borderId="0"/>
    <xf numFmtId="166" fontId="80" fillId="0" borderId="0">
      <alignment vertical="center"/>
    </xf>
    <xf numFmtId="166" fontId="81" fillId="0" borderId="0">
      <alignment vertical="center"/>
    </xf>
    <xf numFmtId="166" fontId="80" fillId="0" borderId="0">
      <alignment vertical="center"/>
    </xf>
    <xf numFmtId="166" fontId="83" fillId="16" borderId="13" applyNumberFormat="0" applyAlignment="0" applyProtection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8" fontId="36" fillId="16" borderId="4">
      <alignment horizontal="right" vertical="top" wrapText="1"/>
    </xf>
    <xf numFmtId="166" fontId="80" fillId="0" borderId="0">
      <alignment vertical="center"/>
    </xf>
    <xf numFmtId="166" fontId="82" fillId="16" borderId="12" applyNumberFormat="0" applyAlignment="0" applyProtection="0">
      <alignment vertical="center"/>
    </xf>
    <xf numFmtId="168" fontId="36" fillId="16" borderId="4">
      <alignment horizontal="right" vertical="top" wrapText="1"/>
    </xf>
    <xf numFmtId="166" fontId="80" fillId="0" borderId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6" fontId="82" fillId="0" borderId="19" applyNumberFormat="0" applyFill="0" applyAlignment="0" applyProtection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6" fontId="35" fillId="2" borderId="4">
      <alignment horizontal="left" vertical="top" wrapText="1"/>
    </xf>
    <xf numFmtId="166" fontId="80" fillId="0" borderId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6" fontId="80" fillId="0" borderId="0">
      <alignment vertical="center"/>
    </xf>
    <xf numFmtId="166" fontId="85" fillId="0" borderId="0">
      <alignment vertical="center"/>
    </xf>
    <xf numFmtId="166" fontId="70" fillId="0" borderId="0">
      <alignment vertical="center"/>
    </xf>
    <xf numFmtId="166" fontId="35" fillId="2" borderId="4">
      <alignment horizontal="left" vertical="top" wrapText="1"/>
    </xf>
    <xf numFmtId="166" fontId="80" fillId="0" borderId="0">
      <alignment vertical="center"/>
    </xf>
    <xf numFmtId="166" fontId="80" fillId="0" borderId="0">
      <alignment vertical="center"/>
    </xf>
    <xf numFmtId="166" fontId="84" fillId="7" borderId="13" applyNumberFormat="0" applyAlignment="0" applyProtection="0">
      <alignment vertical="center"/>
    </xf>
    <xf numFmtId="166" fontId="70" fillId="24" borderId="15" applyNumberFormat="0" applyFont="0" applyAlignment="0" applyProtection="0">
      <alignment vertical="center"/>
    </xf>
    <xf numFmtId="166" fontId="69" fillId="0" borderId="0">
      <alignment vertical="center"/>
    </xf>
    <xf numFmtId="166" fontId="69" fillId="0" borderId="0">
      <alignment vertical="center"/>
    </xf>
    <xf numFmtId="166" fontId="69" fillId="0" borderId="0">
      <alignment vertical="center"/>
    </xf>
    <xf numFmtId="166" fontId="87" fillId="0" borderId="0">
      <alignment vertical="center"/>
    </xf>
    <xf numFmtId="166" fontId="69" fillId="0" borderId="0">
      <alignment vertical="center"/>
    </xf>
    <xf numFmtId="166" fontId="69" fillId="0" borderId="0">
      <alignment vertical="center"/>
    </xf>
    <xf numFmtId="166" fontId="5" fillId="0" borderId="0">
      <alignment vertical="center"/>
    </xf>
    <xf numFmtId="166" fontId="88" fillId="23" borderId="0" applyNumberFormat="0" applyBorder="0" applyAlignment="0" applyProtection="0">
      <alignment vertical="center"/>
    </xf>
    <xf numFmtId="166" fontId="69" fillId="0" borderId="0">
      <alignment vertical="center"/>
    </xf>
    <xf numFmtId="166" fontId="5" fillId="0" borderId="0">
      <alignment vertical="center"/>
    </xf>
    <xf numFmtId="166" fontId="69" fillId="0" borderId="0">
      <alignment vertical="center"/>
    </xf>
    <xf numFmtId="166" fontId="69" fillId="0" borderId="0">
      <alignment vertical="center"/>
    </xf>
    <xf numFmtId="166" fontId="69" fillId="0" borderId="0">
      <alignment vertical="center"/>
    </xf>
    <xf numFmtId="166" fontId="86" fillId="0" borderId="0" applyNumberFormat="0" applyFill="0" applyBorder="0" applyAlignment="0" applyProtection="0">
      <alignment vertical="center"/>
    </xf>
    <xf numFmtId="166" fontId="69" fillId="0" borderId="0">
      <alignment vertical="center"/>
    </xf>
    <xf numFmtId="166" fontId="89" fillId="7" borderId="0" applyNumberFormat="0" applyBorder="0" applyAlignment="0" applyProtection="0">
      <alignment vertical="center"/>
    </xf>
    <xf numFmtId="166" fontId="69" fillId="0" borderId="0">
      <alignment vertical="center"/>
    </xf>
    <xf numFmtId="168" fontId="90" fillId="16" borderId="8">
      <alignment horizontal="right" vertical="top" wrapText="1"/>
    </xf>
    <xf numFmtId="166" fontId="69" fillId="0" borderId="0">
      <alignment vertical="center"/>
    </xf>
    <xf numFmtId="166" fontId="91" fillId="0" borderId="0" applyNumberFormat="0" applyFill="0" applyBorder="0" applyAlignment="0" applyProtection="0">
      <alignment vertical="center"/>
    </xf>
    <xf numFmtId="166" fontId="69" fillId="0" borderId="0">
      <alignment vertical="center"/>
    </xf>
    <xf numFmtId="166" fontId="5" fillId="0" borderId="0">
      <alignment vertical="center"/>
    </xf>
    <xf numFmtId="168" fontId="90" fillId="16" borderId="8">
      <alignment horizontal="right" vertical="top" wrapText="1"/>
    </xf>
    <xf numFmtId="166" fontId="89" fillId="0" borderId="0">
      <alignment vertical="center"/>
    </xf>
    <xf numFmtId="166" fontId="69" fillId="0" borderId="0">
      <alignment vertical="center"/>
    </xf>
    <xf numFmtId="0" fontId="79" fillId="0" borderId="0">
      <alignment vertical="center"/>
    </xf>
    <xf numFmtId="166" fontId="69" fillId="0" borderId="0">
      <alignment vertical="center"/>
    </xf>
    <xf numFmtId="166" fontId="69" fillId="0" borderId="0">
      <alignment vertical="center"/>
    </xf>
    <xf numFmtId="166" fontId="88" fillId="9" borderId="0" applyNumberFormat="0" applyBorder="0" applyAlignment="0" applyProtection="0">
      <alignment vertical="center"/>
    </xf>
    <xf numFmtId="166" fontId="69" fillId="0" borderId="0">
      <alignment vertical="center"/>
    </xf>
    <xf numFmtId="166" fontId="92" fillId="19" borderId="0" applyNumberFormat="0" applyBorder="0" applyAlignment="0" applyProtection="0">
      <alignment vertical="center"/>
    </xf>
    <xf numFmtId="166" fontId="5" fillId="0" borderId="0">
      <alignment vertical="center"/>
    </xf>
    <xf numFmtId="166" fontId="69" fillId="0" borderId="0">
      <alignment vertical="center"/>
    </xf>
    <xf numFmtId="166" fontId="69" fillId="0" borderId="0">
      <alignment vertical="center"/>
    </xf>
    <xf numFmtId="167" fontId="93" fillId="0" borderId="0">
      <alignment vertical="center"/>
      <protection locked="0"/>
    </xf>
    <xf numFmtId="166" fontId="69" fillId="0" borderId="0">
      <alignment vertical="center"/>
    </xf>
    <xf numFmtId="166" fontId="69" fillId="0" borderId="0">
      <alignment vertical="center"/>
    </xf>
    <xf numFmtId="166" fontId="69" fillId="0" borderId="0">
      <alignment vertical="center"/>
    </xf>
    <xf numFmtId="166" fontId="69" fillId="0" borderId="0">
      <alignment vertical="center"/>
    </xf>
    <xf numFmtId="166" fontId="69" fillId="0" borderId="0">
      <alignment vertical="center"/>
    </xf>
    <xf numFmtId="166" fontId="69" fillId="0" borderId="0">
      <alignment vertical="center"/>
    </xf>
    <xf numFmtId="166" fontId="69" fillId="0" borderId="0">
      <alignment vertical="center"/>
    </xf>
    <xf numFmtId="166" fontId="5" fillId="0" borderId="0">
      <alignment vertical="center"/>
    </xf>
    <xf numFmtId="166" fontId="69" fillId="0" borderId="0">
      <alignment vertical="center"/>
    </xf>
    <xf numFmtId="166" fontId="69" fillId="0" borderId="0">
      <alignment vertical="center"/>
    </xf>
    <xf numFmtId="166" fontId="69" fillId="0" borderId="0">
      <alignment vertical="center"/>
    </xf>
    <xf numFmtId="166" fontId="69" fillId="0" borderId="0">
      <alignment vertical="center"/>
    </xf>
    <xf numFmtId="166" fontId="88" fillId="15" borderId="0" applyNumberFormat="0" applyBorder="0" applyAlignment="0" applyProtection="0">
      <alignment vertical="center"/>
    </xf>
    <xf numFmtId="166" fontId="69" fillId="0" borderId="0">
      <alignment vertical="center"/>
    </xf>
    <xf numFmtId="166" fontId="94" fillId="0" borderId="6">
      <alignment horizontal="left" vertical="center"/>
    </xf>
    <xf numFmtId="166" fontId="5" fillId="0" borderId="0">
      <alignment vertical="center"/>
    </xf>
    <xf numFmtId="166" fontId="69" fillId="0" borderId="0">
      <alignment vertical="center"/>
    </xf>
    <xf numFmtId="166" fontId="69" fillId="0" borderId="0">
      <alignment vertical="center"/>
    </xf>
    <xf numFmtId="166" fontId="69" fillId="0" borderId="0">
      <alignment vertical="center"/>
    </xf>
    <xf numFmtId="166" fontId="89" fillId="8" borderId="0" applyNumberFormat="0" applyBorder="0" applyAlignment="0" applyProtection="0">
      <alignment vertical="center"/>
    </xf>
    <xf numFmtId="166" fontId="95" fillId="0" borderId="16" applyNumberFormat="0" applyFill="0" applyAlignment="0" applyProtection="0">
      <alignment vertical="center"/>
    </xf>
    <xf numFmtId="166" fontId="89" fillId="9" borderId="0" applyNumberFormat="0" applyBorder="0" applyAlignment="0" applyProtection="0">
      <alignment vertical="center"/>
    </xf>
    <xf numFmtId="166" fontId="69" fillId="0" borderId="0">
      <alignment vertical="center"/>
    </xf>
    <xf numFmtId="166" fontId="69" fillId="0" borderId="0">
      <alignment vertical="center"/>
    </xf>
    <xf numFmtId="166" fontId="69" fillId="0" borderId="0">
      <alignment vertical="center"/>
    </xf>
    <xf numFmtId="166" fontId="5" fillId="0" borderId="0">
      <alignment vertical="center"/>
    </xf>
    <xf numFmtId="166" fontId="69" fillId="0" borderId="0">
      <alignment vertical="center"/>
    </xf>
    <xf numFmtId="166" fontId="69" fillId="0" borderId="0">
      <alignment vertical="center"/>
    </xf>
    <xf numFmtId="166" fontId="96" fillId="2" borderId="8">
      <alignment horizontal="left" vertical="top" wrapText="1"/>
    </xf>
    <xf numFmtId="166" fontId="69" fillId="0" borderId="0">
      <alignment vertical="center"/>
    </xf>
    <xf numFmtId="166" fontId="5" fillId="0" borderId="0">
      <alignment vertical="center"/>
    </xf>
    <xf numFmtId="166" fontId="69" fillId="0" borderId="0">
      <alignment vertical="center"/>
    </xf>
    <xf numFmtId="166" fontId="69" fillId="0" borderId="0">
      <alignment vertical="center"/>
    </xf>
    <xf numFmtId="166" fontId="89" fillId="4" borderId="0" applyNumberFormat="0" applyBorder="0" applyAlignment="0" applyProtection="0">
      <alignment vertical="center"/>
    </xf>
    <xf numFmtId="166" fontId="89" fillId="0" borderId="0">
      <alignment vertical="center"/>
    </xf>
    <xf numFmtId="166" fontId="69" fillId="0" borderId="0">
      <alignment vertical="center"/>
    </xf>
    <xf numFmtId="166" fontId="88" fillId="14" borderId="0" applyNumberFormat="0" applyBorder="0" applyAlignment="0" applyProtection="0">
      <alignment vertical="center"/>
    </xf>
    <xf numFmtId="166" fontId="69" fillId="0" borderId="0">
      <alignment vertical="center"/>
    </xf>
    <xf numFmtId="166" fontId="69" fillId="0" borderId="0">
      <alignment vertical="center"/>
    </xf>
    <xf numFmtId="166" fontId="69" fillId="0" borderId="0">
      <alignment vertical="center"/>
    </xf>
    <xf numFmtId="166" fontId="69" fillId="0" borderId="0">
      <alignment vertical="center"/>
    </xf>
    <xf numFmtId="166" fontId="97" fillId="18" borderId="13" applyNumberFormat="0" applyAlignment="0" applyProtection="0">
      <alignment vertical="center"/>
    </xf>
    <xf numFmtId="166" fontId="69" fillId="0" borderId="0">
      <alignment vertical="center"/>
    </xf>
    <xf numFmtId="166" fontId="98" fillId="0" borderId="0" applyNumberFormat="0" applyFill="0" applyBorder="0" applyAlignment="0" applyProtection="0">
      <alignment vertical="center"/>
    </xf>
    <xf numFmtId="166" fontId="69" fillId="0" borderId="0">
      <alignment vertical="center"/>
    </xf>
    <xf numFmtId="166" fontId="89" fillId="5" borderId="0" applyNumberFormat="0" applyBorder="0" applyAlignment="0" applyProtection="0">
      <alignment vertical="center"/>
    </xf>
    <xf numFmtId="166" fontId="69" fillId="0" borderId="0">
      <alignment vertical="center"/>
    </xf>
    <xf numFmtId="166" fontId="69" fillId="0" borderId="0">
      <alignment vertical="center"/>
    </xf>
    <xf numFmtId="166" fontId="69" fillId="0" borderId="0">
      <alignment vertical="center"/>
    </xf>
    <xf numFmtId="166" fontId="69" fillId="0" borderId="0">
      <alignment vertical="center"/>
    </xf>
    <xf numFmtId="166" fontId="69" fillId="0" borderId="0">
      <alignment vertical="center"/>
    </xf>
    <xf numFmtId="166" fontId="69" fillId="0" borderId="0">
      <alignment vertical="center"/>
    </xf>
    <xf numFmtId="166" fontId="69" fillId="0" borderId="0">
      <alignment vertical="center"/>
    </xf>
    <xf numFmtId="166" fontId="99" fillId="3" borderId="0" applyNumberFormat="0" applyBorder="0" applyAlignment="0" applyProtection="0">
      <alignment vertical="center"/>
    </xf>
    <xf numFmtId="166" fontId="5" fillId="0" borderId="0">
      <alignment vertical="center"/>
    </xf>
    <xf numFmtId="166" fontId="5" fillId="0" borderId="0">
      <alignment vertical="center"/>
    </xf>
    <xf numFmtId="166" fontId="69" fillId="0" borderId="0">
      <alignment vertical="center"/>
    </xf>
    <xf numFmtId="166" fontId="69" fillId="0" borderId="0">
      <alignment vertical="center"/>
    </xf>
    <xf numFmtId="166" fontId="69" fillId="0" borderId="0">
      <alignment vertical="center"/>
    </xf>
    <xf numFmtId="166" fontId="69" fillId="0" borderId="0">
      <alignment vertical="center"/>
    </xf>
    <xf numFmtId="166" fontId="69" fillId="0" borderId="0">
      <alignment vertical="center"/>
    </xf>
    <xf numFmtId="166" fontId="69" fillId="0" borderId="0">
      <alignment vertical="center"/>
    </xf>
    <xf numFmtId="166" fontId="69" fillId="0" borderId="0">
      <alignment vertical="center"/>
    </xf>
    <xf numFmtId="166" fontId="69" fillId="0" borderId="0">
      <alignment vertical="center"/>
    </xf>
    <xf numFmtId="166" fontId="69" fillId="0" borderId="0">
      <alignment vertical="center"/>
    </xf>
    <xf numFmtId="166" fontId="69" fillId="0" borderId="0">
      <alignment vertical="center"/>
    </xf>
    <xf numFmtId="166" fontId="69" fillId="0" borderId="0">
      <alignment vertical="center"/>
    </xf>
    <xf numFmtId="166" fontId="69" fillId="0" borderId="0">
      <alignment vertical="center"/>
    </xf>
    <xf numFmtId="166" fontId="69" fillId="0" borderId="0">
      <alignment vertical="center"/>
    </xf>
    <xf numFmtId="166" fontId="5" fillId="0" borderId="0">
      <alignment vertical="center"/>
    </xf>
    <xf numFmtId="166" fontId="5" fillId="0" borderId="0">
      <alignment vertical="center"/>
    </xf>
    <xf numFmtId="166" fontId="69" fillId="0" borderId="0">
      <alignment vertical="center"/>
    </xf>
    <xf numFmtId="166" fontId="69" fillId="0" borderId="0">
      <alignment vertical="center"/>
    </xf>
    <xf numFmtId="166" fontId="69" fillId="0" borderId="0">
      <alignment vertical="center"/>
    </xf>
    <xf numFmtId="166" fontId="69" fillId="0" borderId="0">
      <alignment vertical="center"/>
    </xf>
    <xf numFmtId="166" fontId="89" fillId="0" borderId="0">
      <alignment vertical="center"/>
    </xf>
    <xf numFmtId="166" fontId="69" fillId="0" borderId="0">
      <alignment vertical="center"/>
    </xf>
    <xf numFmtId="166" fontId="69" fillId="0" borderId="0">
      <alignment vertical="center"/>
    </xf>
    <xf numFmtId="166" fontId="100" fillId="18" borderId="12" applyNumberFormat="0" applyAlignment="0" applyProtection="0">
      <alignment vertical="center"/>
    </xf>
    <xf numFmtId="166" fontId="69" fillId="0" borderId="0">
      <alignment vertical="center"/>
    </xf>
    <xf numFmtId="166" fontId="69" fillId="0" borderId="0">
      <alignment vertical="center"/>
    </xf>
    <xf numFmtId="166" fontId="69" fillId="0" borderId="0">
      <alignment vertical="center"/>
    </xf>
    <xf numFmtId="166" fontId="69" fillId="0" borderId="0">
      <alignment vertical="center"/>
    </xf>
    <xf numFmtId="166" fontId="69" fillId="0" borderId="0">
      <alignment vertical="center"/>
    </xf>
    <xf numFmtId="166" fontId="69" fillId="0" borderId="0">
      <alignment vertical="center"/>
    </xf>
    <xf numFmtId="166" fontId="69" fillId="0" borderId="0">
      <alignment vertical="center"/>
    </xf>
    <xf numFmtId="166" fontId="89" fillId="0" borderId="0">
      <alignment vertical="center"/>
    </xf>
    <xf numFmtId="166" fontId="69" fillId="0" borderId="0">
      <alignment vertical="center"/>
    </xf>
    <xf numFmtId="166" fontId="88" fillId="10" borderId="0" applyNumberFormat="0" applyBorder="0" applyAlignment="0" applyProtection="0">
      <alignment vertical="center"/>
    </xf>
    <xf numFmtId="0" fontId="75" fillId="0" borderId="0">
      <alignment vertical="center"/>
    </xf>
    <xf numFmtId="166" fontId="89" fillId="3" borderId="0" applyNumberFormat="0" applyBorder="0" applyAlignment="0" applyProtection="0">
      <alignment vertical="center"/>
    </xf>
    <xf numFmtId="166" fontId="69" fillId="0" borderId="0">
      <alignment vertical="center"/>
    </xf>
    <xf numFmtId="166" fontId="69" fillId="0" borderId="0">
      <alignment vertical="center"/>
    </xf>
    <xf numFmtId="166" fontId="69" fillId="0" borderId="0">
      <alignment vertical="center"/>
    </xf>
    <xf numFmtId="166" fontId="69" fillId="0" borderId="0">
      <alignment vertical="center"/>
    </xf>
    <xf numFmtId="166" fontId="69" fillId="0" borderId="0">
      <alignment vertical="center"/>
    </xf>
    <xf numFmtId="166" fontId="101" fillId="0" borderId="0" applyNumberFormat="0" applyFill="0" applyBorder="0" applyAlignment="0" applyProtection="0">
      <alignment vertical="center"/>
    </xf>
    <xf numFmtId="166" fontId="69" fillId="0" borderId="0">
      <alignment vertical="center"/>
    </xf>
    <xf numFmtId="166" fontId="69" fillId="0" borderId="0">
      <alignment vertical="center"/>
    </xf>
    <xf numFmtId="166" fontId="69" fillId="0" borderId="0">
      <alignment vertical="center"/>
    </xf>
    <xf numFmtId="166" fontId="69" fillId="0" borderId="0">
      <alignment vertical="center"/>
    </xf>
    <xf numFmtId="166" fontId="72" fillId="0" borderId="0">
      <alignment vertical="center"/>
    </xf>
    <xf numFmtId="166" fontId="72" fillId="0" borderId="0">
      <alignment vertical="center"/>
    </xf>
    <xf numFmtId="166" fontId="69" fillId="0" borderId="0">
      <alignment vertical="center"/>
    </xf>
    <xf numFmtId="166" fontId="89" fillId="2" borderId="0" applyNumberFormat="0" applyBorder="0" applyAlignment="0" applyProtection="0">
      <alignment vertical="center"/>
    </xf>
    <xf numFmtId="166" fontId="89" fillId="6" borderId="0" applyNumberFormat="0" applyBorder="0" applyAlignment="0" applyProtection="0">
      <alignment vertical="center"/>
    </xf>
    <xf numFmtId="166" fontId="89" fillId="8" borderId="0" applyNumberFormat="0" applyBorder="0" applyAlignment="0" applyProtection="0">
      <alignment vertical="center"/>
    </xf>
    <xf numFmtId="166" fontId="89" fillId="10" borderId="0" applyNumberFormat="0" applyBorder="0" applyAlignment="0" applyProtection="0">
      <alignment vertical="center"/>
    </xf>
    <xf numFmtId="166" fontId="89" fillId="5" borderId="0" applyNumberFormat="0" applyBorder="0" applyAlignment="0" applyProtection="0">
      <alignment vertical="center"/>
    </xf>
    <xf numFmtId="166" fontId="89" fillId="11" borderId="0" applyNumberFormat="0" applyBorder="0" applyAlignment="0" applyProtection="0">
      <alignment vertical="center"/>
    </xf>
    <xf numFmtId="166" fontId="85" fillId="0" borderId="0">
      <alignment vertical="center"/>
    </xf>
    <xf numFmtId="166" fontId="88" fillId="12" borderId="0" applyNumberFormat="0" applyBorder="0" applyAlignment="0" applyProtection="0">
      <alignment vertical="center"/>
    </xf>
    <xf numFmtId="166" fontId="88" fillId="13" borderId="0" applyNumberFormat="0" applyBorder="0" applyAlignment="0" applyProtection="0">
      <alignment vertical="center"/>
    </xf>
    <xf numFmtId="166" fontId="5" fillId="0" borderId="0">
      <alignment vertical="center"/>
    </xf>
    <xf numFmtId="166" fontId="88" fillId="14" borderId="0" applyNumberFormat="0" applyBorder="0" applyAlignment="0" applyProtection="0">
      <alignment vertical="center"/>
    </xf>
    <xf numFmtId="167" fontId="102" fillId="0" borderId="0">
      <alignment vertical="center"/>
      <protection locked="0"/>
    </xf>
    <xf numFmtId="167" fontId="102" fillId="0" borderId="0">
      <alignment vertical="center"/>
      <protection locked="0"/>
    </xf>
    <xf numFmtId="166" fontId="5" fillId="0" borderId="0">
      <alignment vertical="center"/>
    </xf>
    <xf numFmtId="167" fontId="102" fillId="0" borderId="0">
      <alignment vertical="center"/>
      <protection locked="0"/>
    </xf>
    <xf numFmtId="166" fontId="88" fillId="20" borderId="0" applyNumberFormat="0" applyBorder="0" applyAlignment="0" applyProtection="0">
      <alignment vertical="center"/>
    </xf>
    <xf numFmtId="166" fontId="69" fillId="0" borderId="0" applyFont="0" applyFill="0" applyBorder="0" applyAlignment="0" applyProtection="0">
      <alignment vertical="center"/>
    </xf>
    <xf numFmtId="167" fontId="102" fillId="0" borderId="0">
      <alignment vertical="center"/>
      <protection locked="0"/>
    </xf>
    <xf numFmtId="166" fontId="5" fillId="0" borderId="0">
      <alignment vertical="center"/>
    </xf>
    <xf numFmtId="166" fontId="94" fillId="0" borderId="5" applyNumberFormat="0" applyAlignment="0" applyProtection="0">
      <alignment horizontal="left" vertical="center"/>
    </xf>
    <xf numFmtId="166" fontId="94" fillId="0" borderId="6">
      <alignment horizontal="left" vertical="center"/>
    </xf>
    <xf numFmtId="166" fontId="94" fillId="0" borderId="6">
      <alignment horizontal="left" vertical="center"/>
    </xf>
    <xf numFmtId="167" fontId="93" fillId="0" borderId="0">
      <alignment vertical="center"/>
      <protection locked="0"/>
    </xf>
    <xf numFmtId="166" fontId="73" fillId="6" borderId="7" applyProtection="0">
      <alignment horizontal="right" vertical="center"/>
    </xf>
    <xf numFmtId="166" fontId="103" fillId="0" borderId="14" applyNumberFormat="0" applyFill="0" applyAlignment="0" applyProtection="0">
      <alignment vertical="center"/>
    </xf>
    <xf numFmtId="166" fontId="69" fillId="0" borderId="0">
      <alignment vertical="center"/>
    </xf>
    <xf numFmtId="166" fontId="96" fillId="2" borderId="8">
      <alignment horizontal="left" vertical="top" wrapText="1"/>
    </xf>
    <xf numFmtId="167" fontId="102" fillId="0" borderId="9">
      <alignment vertical="center"/>
      <protection locked="0"/>
    </xf>
    <xf numFmtId="170" fontId="70" fillId="0" borderId="0" applyFont="0" applyFill="0" applyBorder="0" applyAlignment="0" applyProtection="0"/>
    <xf numFmtId="166" fontId="5" fillId="0" borderId="0">
      <alignment vertical="center"/>
    </xf>
    <xf numFmtId="171" fontId="89" fillId="0" borderId="0" applyFont="0" applyFill="0" applyBorder="0" applyAlignment="0" applyProtection="0">
      <alignment vertical="center"/>
    </xf>
    <xf numFmtId="171" fontId="89" fillId="0" borderId="0" applyFont="0" applyFill="0" applyBorder="0" applyAlignment="0" applyProtection="0">
      <alignment vertical="center"/>
    </xf>
    <xf numFmtId="166" fontId="89" fillId="0" borderId="0">
      <alignment vertical="center"/>
    </xf>
    <xf numFmtId="166" fontId="104" fillId="0" borderId="0"/>
    <xf numFmtId="0" fontId="79" fillId="0" borderId="0">
      <alignment vertical="center"/>
    </xf>
    <xf numFmtId="166" fontId="69" fillId="0" borderId="0">
      <alignment vertical="center"/>
    </xf>
    <xf numFmtId="166" fontId="105" fillId="0" borderId="0" applyNumberFormat="0" applyFill="0" applyBorder="0" applyAlignment="0" applyProtection="0">
      <alignment vertical="center"/>
    </xf>
    <xf numFmtId="166" fontId="69" fillId="0" borderId="0">
      <alignment vertical="center"/>
    </xf>
    <xf numFmtId="166" fontId="106" fillId="0" borderId="17" applyNumberFormat="0" applyFill="0" applyAlignment="0" applyProtection="0">
      <alignment vertical="center"/>
    </xf>
    <xf numFmtId="166" fontId="5" fillId="0" borderId="0">
      <alignment vertical="center"/>
    </xf>
    <xf numFmtId="166" fontId="5" fillId="0" borderId="0">
      <alignment vertical="center"/>
    </xf>
    <xf numFmtId="166" fontId="69" fillId="0" borderId="0">
      <alignment vertical="center"/>
    </xf>
    <xf numFmtId="166" fontId="69" fillId="0" borderId="0">
      <alignment vertical="center"/>
    </xf>
    <xf numFmtId="0" fontId="69" fillId="0" borderId="0">
      <alignment vertical="center"/>
    </xf>
    <xf numFmtId="166" fontId="107" fillId="17" borderId="10" applyNumberFormat="0" applyAlignment="0" applyProtection="0">
      <alignment vertical="center"/>
    </xf>
    <xf numFmtId="166" fontId="108" fillId="0" borderId="11" applyNumberFormat="0" applyFill="0" applyAlignment="0" applyProtection="0">
      <alignment vertical="center"/>
    </xf>
    <xf numFmtId="0" fontId="79" fillId="0" borderId="0">
      <alignment vertical="center"/>
    </xf>
    <xf numFmtId="166" fontId="100" fillId="18" borderId="12" applyNumberFormat="0" applyAlignment="0" applyProtection="0">
      <alignment vertical="center"/>
    </xf>
    <xf numFmtId="166" fontId="97" fillId="18" borderId="13" applyNumberFormat="0" applyAlignment="0" applyProtection="0">
      <alignment vertical="center"/>
    </xf>
    <xf numFmtId="166" fontId="109" fillId="4" borderId="0" applyNumberFormat="0" applyBorder="0" applyAlignment="0" applyProtection="0">
      <alignment vertical="center"/>
    </xf>
    <xf numFmtId="166" fontId="110" fillId="7" borderId="13" applyNumberFormat="0" applyAlignment="0" applyProtection="0">
      <alignment vertical="center"/>
    </xf>
    <xf numFmtId="166" fontId="110" fillId="7" borderId="13" applyNumberFormat="0" applyAlignment="0" applyProtection="0">
      <alignment vertical="center"/>
    </xf>
    <xf numFmtId="166" fontId="103" fillId="0" borderId="14" applyNumberFormat="0" applyFill="0" applyAlignment="0" applyProtection="0">
      <alignment vertical="center"/>
    </xf>
    <xf numFmtId="166" fontId="88" fillId="21" borderId="0" applyNumberFormat="0" applyBorder="0" applyAlignment="0" applyProtection="0">
      <alignment vertical="center"/>
    </xf>
    <xf numFmtId="166" fontId="88" fillId="22" borderId="0" applyNumberFormat="0" applyBorder="0" applyAlignment="0" applyProtection="0">
      <alignment vertical="center"/>
    </xf>
    <xf numFmtId="166" fontId="88" fillId="13" borderId="0" applyNumberFormat="0" applyBorder="0" applyAlignment="0" applyProtection="0">
      <alignment vertical="center"/>
    </xf>
    <xf numFmtId="166" fontId="69" fillId="24" borderId="15" applyNumberFormat="0" applyFont="0" applyAlignment="0" applyProtection="0">
      <alignment vertical="center"/>
    </xf>
    <xf numFmtId="166" fontId="69" fillId="24" borderId="15" applyNumberFormat="0" applyFont="0" applyAlignment="0" applyProtection="0">
      <alignment vertical="center"/>
    </xf>
    <xf numFmtId="166" fontId="98" fillId="0" borderId="18" applyNumberFormat="0" applyFill="0" applyAlignment="0" applyProtection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166" fontId="5" fillId="0" borderId="0">
      <alignment vertical="center"/>
    </xf>
    <xf numFmtId="166" fontId="5" fillId="0" borderId="0">
      <alignment vertical="center"/>
    </xf>
    <xf numFmtId="166" fontId="5" fillId="0" borderId="0">
      <alignment vertical="center"/>
    </xf>
    <xf numFmtId="0" fontId="75" fillId="0" borderId="0">
      <alignment vertical="center"/>
    </xf>
    <xf numFmtId="166" fontId="5" fillId="0" borderId="0">
      <alignment vertical="center"/>
    </xf>
    <xf numFmtId="0" fontId="111" fillId="0" borderId="0"/>
    <xf numFmtId="0" fontId="76" fillId="0" borderId="0">
      <alignment vertical="center"/>
    </xf>
    <xf numFmtId="166" fontId="5" fillId="0" borderId="0">
      <alignment vertical="center"/>
    </xf>
    <xf numFmtId="166" fontId="5" fillId="0" borderId="0">
      <alignment vertical="center"/>
    </xf>
    <xf numFmtId="166" fontId="5" fillId="0" borderId="0">
      <alignment vertical="center"/>
    </xf>
    <xf numFmtId="0" fontId="75" fillId="0" borderId="0"/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96" fillId="2" borderId="4">
      <alignment horizontal="left" vertical="top" wrapText="1"/>
    </xf>
    <xf numFmtId="166" fontId="112" fillId="0" borderId="0">
      <alignment vertical="center"/>
    </xf>
    <xf numFmtId="168" fontId="90" fillId="16" borderId="4">
      <alignment horizontal="right" vertical="top" wrapText="1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8" fontId="90" fillId="16" borderId="4">
      <alignment horizontal="right" vertical="top" wrapText="1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98" fillId="0" borderId="18" applyNumberFormat="0" applyFill="0" applyAlignment="0" applyProtection="0">
      <alignment vertical="center"/>
    </xf>
    <xf numFmtId="166" fontId="112" fillId="0" borderId="0">
      <alignment vertical="center"/>
    </xf>
    <xf numFmtId="166" fontId="96" fillId="2" borderId="4">
      <alignment horizontal="left" vertical="top" wrapText="1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112" fillId="0" borderId="0">
      <alignment vertical="center"/>
    </xf>
    <xf numFmtId="166" fontId="98" fillId="0" borderId="18" applyNumberFormat="0" applyFill="0" applyAlignment="0" applyProtection="0">
      <alignment vertical="center"/>
    </xf>
    <xf numFmtId="166" fontId="35" fillId="2" borderId="4">
      <alignment horizontal="left" vertical="top" wrapText="1"/>
    </xf>
    <xf numFmtId="166" fontId="35" fillId="2" borderId="4">
      <alignment horizontal="left" vertical="top" wrapText="1"/>
    </xf>
    <xf numFmtId="166" fontId="35" fillId="2" borderId="4">
      <alignment horizontal="left" vertical="top" wrapText="1"/>
    </xf>
    <xf numFmtId="166" fontId="35" fillId="2" borderId="4">
      <alignment horizontal="left" vertical="top" wrapText="1"/>
    </xf>
    <xf numFmtId="166" fontId="35" fillId="2" borderId="4">
      <alignment horizontal="left" vertical="top" wrapText="1"/>
    </xf>
    <xf numFmtId="166" fontId="35" fillId="2" borderId="4">
      <alignment horizontal="left" vertical="top" wrapText="1"/>
    </xf>
    <xf numFmtId="168" fontId="36" fillId="16" borderId="4">
      <alignment horizontal="right" vertical="top" wrapText="1"/>
    </xf>
    <xf numFmtId="168" fontId="36" fillId="16" borderId="4">
      <alignment horizontal="right" vertical="top" wrapText="1"/>
    </xf>
    <xf numFmtId="168" fontId="36" fillId="16" borderId="4">
      <alignment horizontal="right" vertical="top" wrapText="1"/>
    </xf>
    <xf numFmtId="168" fontId="36" fillId="16" borderId="4">
      <alignment horizontal="right" vertical="top" wrapText="1"/>
    </xf>
    <xf numFmtId="168" fontId="36" fillId="16" borderId="4">
      <alignment horizontal="right" vertical="top" wrapText="1"/>
    </xf>
    <xf numFmtId="168" fontId="36" fillId="16" borderId="4">
      <alignment horizontal="right" vertical="top" wrapText="1"/>
    </xf>
    <xf numFmtId="0" fontId="12" fillId="0" borderId="0"/>
    <xf numFmtId="0" fontId="7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36" fillId="16" borderId="8">
      <alignment horizontal="right" vertical="top" wrapText="1"/>
    </xf>
    <xf numFmtId="168" fontId="36" fillId="16" borderId="8">
      <alignment horizontal="right" vertical="top" wrapText="1"/>
    </xf>
    <xf numFmtId="166" fontId="35" fillId="2" borderId="8">
      <alignment horizontal="left" vertical="top" wrapText="1"/>
    </xf>
    <xf numFmtId="166" fontId="96" fillId="2" borderId="8">
      <alignment horizontal="left" vertical="top" wrapText="1"/>
    </xf>
    <xf numFmtId="168" fontId="90" fillId="16" borderId="8">
      <alignment horizontal="right" vertical="top" wrapText="1"/>
    </xf>
    <xf numFmtId="166" fontId="35" fillId="2" borderId="8">
      <alignment horizontal="left" vertical="top" wrapText="1"/>
    </xf>
    <xf numFmtId="166" fontId="96" fillId="2" borderId="8">
      <alignment horizontal="left" vertical="top" wrapText="1"/>
    </xf>
    <xf numFmtId="166" fontId="35" fillId="2" borderId="8">
      <alignment horizontal="left" vertical="top" wrapText="1"/>
    </xf>
    <xf numFmtId="168" fontId="36" fillId="16" borderId="8">
      <alignment horizontal="right" vertical="top" wrapText="1"/>
    </xf>
    <xf numFmtId="168" fontId="36" fillId="16" borderId="8">
      <alignment horizontal="right" vertical="top" wrapText="1"/>
    </xf>
    <xf numFmtId="168" fontId="36" fillId="16" borderId="8">
      <alignment horizontal="right" vertical="top" wrapText="1"/>
    </xf>
    <xf numFmtId="168" fontId="36" fillId="16" borderId="8">
      <alignment horizontal="right" vertical="top" wrapText="1"/>
    </xf>
    <xf numFmtId="166" fontId="35" fillId="2" borderId="8">
      <alignment horizontal="left" vertical="top" wrapText="1"/>
    </xf>
    <xf numFmtId="166" fontId="35" fillId="2" borderId="8">
      <alignment horizontal="left" vertical="top" wrapText="1"/>
    </xf>
    <xf numFmtId="166" fontId="35" fillId="2" borderId="8">
      <alignment horizontal="left" vertical="top" wrapText="1"/>
    </xf>
    <xf numFmtId="168" fontId="90" fillId="16" borderId="8">
      <alignment horizontal="right" vertical="top" wrapText="1"/>
    </xf>
    <xf numFmtId="43" fontId="1" fillId="0" borderId="0" applyFont="0" applyFill="0" applyBorder="0" applyAlignment="0" applyProtection="0"/>
  </cellStyleXfs>
  <cellXfs count="44">
    <xf numFmtId="0" fontId="0" fillId="0" borderId="0" xfId="0"/>
    <xf numFmtId="0" fontId="5" fillId="0" borderId="2" xfId="0" applyFont="1" applyBorder="1" applyAlignment="1" applyProtection="1">
      <alignment horizontal="center" vertical="center"/>
    </xf>
    <xf numFmtId="0" fontId="6" fillId="0" borderId="3" xfId="1" applyFont="1" applyFill="1" applyBorder="1" applyAlignment="1">
      <alignment horizontal="left" vertical="center"/>
    </xf>
    <xf numFmtId="0" fontId="7" fillId="0" borderId="2" xfId="0" applyFont="1" applyBorder="1" applyAlignment="1" applyProtection="1">
      <alignment vertical="center" wrapText="1"/>
    </xf>
    <xf numFmtId="1" fontId="8" fillId="0" borderId="4" xfId="0" applyNumberFormat="1" applyFont="1" applyFill="1" applyBorder="1" applyAlignment="1">
      <alignment horizontal="center" vertical="center"/>
    </xf>
    <xf numFmtId="0" fontId="7" fillId="0" borderId="4" xfId="2" applyFont="1" applyFill="1" applyBorder="1" applyAlignment="1">
      <alignment horizontal="center" vertical="center" wrapText="1"/>
    </xf>
    <xf numFmtId="40" fontId="8" fillId="0" borderId="4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9" fillId="0" borderId="0" xfId="0" applyFont="1" applyFill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2" fontId="13" fillId="0" borderId="0" xfId="0" applyNumberFormat="1" applyFont="1" applyFill="1" applyBorder="1" applyAlignment="1">
      <alignment horizontal="center" vertical="center"/>
    </xf>
    <xf numFmtId="0" fontId="6" fillId="0" borderId="0" xfId="0" applyFont="1" applyBorder="1" applyAlignment="1">
      <alignment horizontal="right" vertical="center"/>
    </xf>
    <xf numFmtId="0" fontId="14" fillId="0" borderId="0" xfId="0" applyFont="1"/>
    <xf numFmtId="0" fontId="15" fillId="0" borderId="0" xfId="0" applyFont="1" applyAlignment="1">
      <alignment vertic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7" fillId="0" borderId="0" xfId="6" applyFont="1" applyFill="1" applyAlignment="1">
      <alignment horizontal="left" vertical="center"/>
    </xf>
    <xf numFmtId="0" fontId="12" fillId="0" borderId="4" xfId="2" applyFont="1" applyFill="1" applyBorder="1" applyAlignment="1">
      <alignment horizontal="center" vertical="center" wrapText="1"/>
    </xf>
    <xf numFmtId="1" fontId="30" fillId="0" borderId="4" xfId="0" applyNumberFormat="1" applyFont="1" applyFill="1" applyBorder="1" applyAlignment="1">
      <alignment horizontal="center" vertical="center"/>
    </xf>
    <xf numFmtId="40" fontId="30" fillId="0" borderId="4" xfId="0" applyNumberFormat="1" applyFont="1" applyFill="1" applyBorder="1" applyAlignment="1">
      <alignment horizontal="center" vertical="center"/>
    </xf>
    <xf numFmtId="2" fontId="30" fillId="0" borderId="2" xfId="0" applyNumberFormat="1" applyFont="1" applyFill="1" applyBorder="1" applyAlignment="1">
      <alignment horizontal="center" vertical="center"/>
    </xf>
    <xf numFmtId="0" fontId="67" fillId="0" borderId="4" xfId="2" applyFont="1" applyFill="1" applyBorder="1" applyAlignment="1">
      <alignment horizontal="center" vertical="center" wrapText="1"/>
    </xf>
    <xf numFmtId="40" fontId="68" fillId="0" borderId="4" xfId="0" applyNumberFormat="1" applyFont="1" applyFill="1" applyBorder="1" applyAlignment="1">
      <alignment horizontal="center" vertical="center"/>
    </xf>
    <xf numFmtId="2" fontId="68" fillId="0" borderId="2" xfId="0" applyNumberFormat="1" applyFont="1" applyFill="1" applyBorder="1" applyAlignment="1">
      <alignment horizontal="center" vertical="center"/>
    </xf>
    <xf numFmtId="0" fontId="12" fillId="0" borderId="2" xfId="2" applyFont="1" applyFill="1" applyBorder="1" applyAlignment="1">
      <alignment horizontal="center" vertical="center" wrapText="1"/>
    </xf>
    <xf numFmtId="0" fontId="6" fillId="0" borderId="8" xfId="1" applyFont="1" applyFill="1" applyBorder="1" applyAlignment="1">
      <alignment horizontal="left" vertical="center"/>
    </xf>
    <xf numFmtId="1" fontId="30" fillId="0" borderId="8" xfId="0" applyNumberFormat="1" applyFont="1" applyFill="1" applyBorder="1" applyAlignment="1">
      <alignment horizontal="center" vertical="center"/>
    </xf>
    <xf numFmtId="0" fontId="7" fillId="0" borderId="8" xfId="0" applyFont="1" applyBorder="1" applyAlignment="1" applyProtection="1">
      <alignment vertical="center" wrapText="1"/>
    </xf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16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43" fontId="0" fillId="0" borderId="0" xfId="2117" applyFont="1"/>
    <xf numFmtId="0" fontId="6" fillId="0" borderId="4" xfId="1" applyFont="1" applyFill="1" applyBorder="1" applyAlignment="1">
      <alignment horizontal="left" vertical="center"/>
    </xf>
    <xf numFmtId="0" fontId="7" fillId="0" borderId="4" xfId="0" applyFont="1" applyBorder="1" applyAlignment="1" applyProtection="1">
      <alignment vertical="center" wrapText="1"/>
    </xf>
    <xf numFmtId="0" fontId="0" fillId="0" borderId="0" xfId="0" applyAlignment="1">
      <alignment vertical="top"/>
    </xf>
  </cellXfs>
  <cellStyles count="2118">
    <cellStyle name="_(CMR)-dom" xfId="7"/>
    <cellStyle name="_(CMR)-dom 2" xfId="8"/>
    <cellStyle name="_(CMR)-dom 2 2" xfId="9"/>
    <cellStyle name="_(CMR)-dom 2 3" xfId="2051"/>
    <cellStyle name="_(CMR)-dom 3" xfId="10"/>
    <cellStyle name="_(CMR)-dom 4" xfId="1614"/>
    <cellStyle name="_(CMR)-kont2" xfId="11"/>
    <cellStyle name="_(CMR)-kont2 2" xfId="12"/>
    <cellStyle name="_(CMR)-kont2 2 2" xfId="13"/>
    <cellStyle name="_(CMR)-kont2 2 3" xfId="2032"/>
    <cellStyle name="_(CMR)-kont2 3" xfId="14"/>
    <cellStyle name="_(CMR)-kont2 4" xfId="1627"/>
    <cellStyle name="__1_ЭРВИД_бланк-v2" xfId="15"/>
    <cellStyle name="__1_ЭРВИД_бланк-v2 2" xfId="16"/>
    <cellStyle name="__1_ЭРВИД_бланк-v2 2 2" xfId="17"/>
    <cellStyle name="__1_ЭРВИД_бланк-v2 2 3" xfId="1775"/>
    <cellStyle name="__1_ЭРВИД_бланк-v2 3" xfId="18"/>
    <cellStyle name="__ИНТЕРА_Инвойс" xfId="19"/>
    <cellStyle name="__ИНТЕРА_Инвойс 2" xfId="20"/>
    <cellStyle name="__ИНТЕРА_Инвойс 2 2" xfId="21"/>
    <cellStyle name="__ИНТЕРА_Инвойс 2 3" xfId="1776"/>
    <cellStyle name="__ИНТЕРА_Инвойс 3" xfId="22"/>
    <cellStyle name="__Лагрос_Инвойс" xfId="23"/>
    <cellStyle name="__Лагрос_Инвойс 2" xfId="24"/>
    <cellStyle name="__Лагрос_Инвойс 2 2" xfId="25"/>
    <cellStyle name="__Лагрос_Инвойс 2 2 2" xfId="26"/>
    <cellStyle name="__Лагрос_Инвойс 2 2 2 2" xfId="27"/>
    <cellStyle name="__Лагрос_Инвойс 2 2 2 3" xfId="1766"/>
    <cellStyle name="__Лагрос_Инвойс 2 2 3" xfId="28"/>
    <cellStyle name="__Лагрос_Инвойс 2 3" xfId="29"/>
    <cellStyle name="__Лагрос_Инвойс 2 3 2" xfId="30"/>
    <cellStyle name="__Лагрос_Инвойс 2 3 3" xfId="1778"/>
    <cellStyle name="__Лагрос_Инвойс 2 4" xfId="31"/>
    <cellStyle name="__Лагрос_Инвойс 3" xfId="32"/>
    <cellStyle name="__Лагрос_Инвойс 3 2" xfId="33"/>
    <cellStyle name="__Лагрос_Инвойс 3 3" xfId="1764"/>
    <cellStyle name="__Лагрос_Инвойс 4" xfId="34"/>
    <cellStyle name="__Расчет" xfId="35"/>
    <cellStyle name="__Расчет 2" xfId="36"/>
    <cellStyle name="__Расчет 2 2" xfId="37"/>
    <cellStyle name="__Расчет 2 3" xfId="1769"/>
    <cellStyle name="__Расчет 3" xfId="38"/>
    <cellStyle name="_++06-11-03 T- I- M-1057 W-19099 A-855  LAVER 643-021-2001 ЦАТ" xfId="39"/>
    <cellStyle name="_++06-11-03 T- I- M-1057 W-19099 A-855  LAVER 643-021-2001 ЦАТ 2" xfId="40"/>
    <cellStyle name="_++06-11-03 T- I- M-1057 W-19099 A-855  LAVER 643-021-2001 ЦАТ 2 2" xfId="41"/>
    <cellStyle name="_++06-11-03 T- I- M-1057 W-19099 A-855  LAVER 643-021-2001 ЦАТ 2 2 2" xfId="42"/>
    <cellStyle name="_++06-11-03 T- I- M-1057 W-19099 A-855  LAVER 643-021-2001 ЦАТ 2 2 3" xfId="1779"/>
    <cellStyle name="_++06-11-03 T- I- M-1057 W-19099 A-855  LAVER 643-021-2001 ЦАТ 2 3" xfId="43"/>
    <cellStyle name="_++06-11-03 T- I- M-1057 W-19099 A-855  LAVER 643-021-2001 ЦАТ 3" xfId="44"/>
    <cellStyle name="_++06-11-03 T- I- M-1057 W-19099 A-855  LAVER 643-021-2001 ЦАТ 3 2" xfId="45"/>
    <cellStyle name="_++06-11-03 T- I- M-1057 W-19099 A-855  LAVER 643-021-2001 ЦАТ 3 3" xfId="1767"/>
    <cellStyle name="_++06-11-03 T- I- M-1057 W-19099 A-855  LAVER 643-021-2001 ЦАТ 4" xfId="46"/>
    <cellStyle name="_++06-11-03 T- I- M-1057 W-19099 A-855  LAVER 643-021-2001 ЦАТ__бланк расчета" xfId="47"/>
    <cellStyle name="_++06-11-03 T- I- M-1057 W-19099 A-855  LAVER 643-021-2001 ЦАТ__бланк расчета 2" xfId="48"/>
    <cellStyle name="_++06-11-03 T- I- M-1057 W-19099 A-855  LAVER 643-021-2001 ЦАТ__бланк расчета 2 2" xfId="49"/>
    <cellStyle name="_++06-11-03 T- I- M-1057 W-19099 A-855  LAVER 643-021-2001 ЦАТ__бланк расчета 2 2 2" xfId="50"/>
    <cellStyle name="_++06-11-03 T- I- M-1057 W-19099 A-855  LAVER 643-021-2001 ЦАТ__бланк расчета 2 2 3" xfId="1773"/>
    <cellStyle name="_++06-11-03 T- I- M-1057 W-19099 A-855  LAVER 643-021-2001 ЦАТ__бланк расчета 2 3" xfId="51"/>
    <cellStyle name="_++06-11-03 T- I- M-1057 W-19099 A-855  LAVER 643-021-2001 ЦАТ__бланк расчета 3" xfId="52"/>
    <cellStyle name="_++06-11-03 T- I- M-1057 W-19099 A-855  LAVER 643-021-2001 ЦАТ__бланк расчета 3 2" xfId="53"/>
    <cellStyle name="_++06-11-03 T- I- M-1057 W-19099 A-855  LAVER 643-021-2001 ЦАТ__бланк расчета 3 3" xfId="1772"/>
    <cellStyle name="_++06-11-03 T- I- M-1057 W-19099 A-855  LAVER 643-021-2001 ЦАТ__бланк расчета 4" xfId="54"/>
    <cellStyle name="_++06-11-03 T- I- M-1057 W-19099 A-855  LAVER 643-021-2001 ЦАТ__Расчет" xfId="55"/>
    <cellStyle name="_++06-11-03 T- I- M-1057 W-19099 A-855  LAVER 643-021-2001 ЦАТ__Расчет 2" xfId="56"/>
    <cellStyle name="_++06-11-03 T- I- M-1057 W-19099 A-855  LAVER 643-021-2001 ЦАТ__Расчет 2 2" xfId="57"/>
    <cellStyle name="_++06-11-03 T- I- M-1057 W-19099 A-855  LAVER 643-021-2001 ЦАТ__Расчет 2 3" xfId="1745"/>
    <cellStyle name="_++06-11-03 T- I- M-1057 W-19099 A-855  LAVER 643-021-2001 ЦАТ__Расчет 3" xfId="58"/>
    <cellStyle name="_++06-11-03 T- I- M-1057 W-19099 A-855  LAVER 643-021-2001 ЦАТ__Расчет_1" xfId="59"/>
    <cellStyle name="_++06-11-03 T- I- M-1057 W-19099 A-855  LAVER 643-021-2001 ЦАТ__Расчет_1 2" xfId="60"/>
    <cellStyle name="_++06-11-03 T- I- M-1057 W-19099 A-855  LAVER 643-021-2001 ЦАТ__Расчет_1 2 2" xfId="61"/>
    <cellStyle name="_++06-11-03 T- I- M-1057 W-19099 A-855  LAVER 643-021-2001 ЦАТ__Расчет_1 2 3" xfId="1740"/>
    <cellStyle name="_++06-11-03 T- I- M-1057 W-19099 A-855  LAVER 643-021-2001 ЦАТ__Расчет_1 3" xfId="62"/>
    <cellStyle name="_++06-11-03 T- I- M-1057 W-19099 A-855  LAVER 643-021-2001 ЦАТ_1" xfId="63"/>
    <cellStyle name="_++06-11-03 T- I- M-1057 W-19099 A-855  LAVER 643-021-2001 ЦАТ_1 2" xfId="64"/>
    <cellStyle name="_++06-11-03 T- I- M-1057 W-19099 A-855  LAVER 643-021-2001 ЦАТ_1 2 2" xfId="65"/>
    <cellStyle name="_++06-11-03 T- I- M-1057 W-19099 A-855  LAVER 643-021-2001 ЦАТ_1 2 3" xfId="1748"/>
    <cellStyle name="_++06-11-03 T- I- M-1057 W-19099 A-855  LAVER 643-021-2001 ЦАТ_1 3" xfId="66"/>
    <cellStyle name="_++06-11-03 T- I- M-1057 W-19099 A-855  LAVER 643-021-2001 ЦАТ_11-27-336-Sergey-zajavka-28 (2)" xfId="67"/>
    <cellStyle name="_++06-11-03 T- I- M-1057 W-19099 A-855  LAVER 643-021-2001 ЦАТ_11-27-336-Sergey-zajavka-28 (2) 2" xfId="68"/>
    <cellStyle name="_++06-11-03 T- I- M-1057 W-19099 A-855  LAVER 643-021-2001 ЦАТ_11-27-336-Sergey-zajavka-28 (2) 2 2" xfId="69"/>
    <cellStyle name="_++06-11-03 T- I- M-1057 W-19099 A-855  LAVER 643-021-2001 ЦАТ_11-27-336-Sergey-zajavka-28 (2) 2 3" xfId="1780"/>
    <cellStyle name="_++06-11-03 T- I- M-1057 W-19099 A-855  LAVER 643-021-2001 ЦАТ_11-27-336-Sergey-zajavka-28 (2) 3" xfId="70"/>
    <cellStyle name="_+02122003_092_inv_tdi_isx" xfId="71"/>
    <cellStyle name="_+02122003_092_inv_tdi_isx 2" xfId="72"/>
    <cellStyle name="_+02122003_092_inv_tdi_isx 2 2" xfId="73"/>
    <cellStyle name="_+02122003_092_inv_tdi_isx 2 3" xfId="1953"/>
    <cellStyle name="_+02122003_092_inv_tdi_isx 3" xfId="74"/>
    <cellStyle name="_+02122003_092_inv_tdi_isx 4" xfId="1629"/>
    <cellStyle name="_+14012004_094_inv_tdi_isx" xfId="75"/>
    <cellStyle name="_+14012004_094_inv_tdi_isx 2" xfId="76"/>
    <cellStyle name="_+14012004_094_inv_tdi_isx 2 2" xfId="77"/>
    <cellStyle name="_+14012004_094_inv_tdi_isx 2 3" xfId="2040"/>
    <cellStyle name="_+14012004_094_inv_tdi_isx 3" xfId="78"/>
    <cellStyle name="_+14012004_094_inv_tdi_isx 4" xfId="1630"/>
    <cellStyle name="_+17062002_536_inv_comf_stef" xfId="79"/>
    <cellStyle name="_+17062002_536_inv_comf_stef 2" xfId="80"/>
    <cellStyle name="_+17062002_536_inv_comf_stef 2 2" xfId="81"/>
    <cellStyle name="_+17062002_536_inv_comf_stef 2 3" xfId="2017"/>
    <cellStyle name="_+17062002_536_inv_comf_stef 3" xfId="82"/>
    <cellStyle name="_+17062002_536_inv_comf_stef 4" xfId="1631"/>
    <cellStyle name="_+25022004_652_inv_tdi_isx" xfId="83"/>
    <cellStyle name="_+25022004_652_inv_tdi_isx 2" xfId="84"/>
    <cellStyle name="_+25022004_652_inv_tdi_isx 2 2" xfId="85"/>
    <cellStyle name="_+25022004_652_inv_tdi_isx 2 3" xfId="2039"/>
    <cellStyle name="_+25022004_652_inv_tdi_isx 3" xfId="86"/>
    <cellStyle name="_+25022004_652_inv_tdi_isx 4" xfId="1632"/>
    <cellStyle name="_+28112003_006_inv_tdi_isx" xfId="87"/>
    <cellStyle name="_+28112003_006_inv_tdi_isx 2" xfId="88"/>
    <cellStyle name="_+28112003_006_inv_tdi_isx 2 2" xfId="89"/>
    <cellStyle name="_+28112003_006_inv_tdi_isx 2 3" xfId="2052"/>
    <cellStyle name="_+28112003_006_inv_tdi_isx 3" xfId="90"/>
    <cellStyle name="_+28112003_006_inv_tdi_isx 4" xfId="1633"/>
    <cellStyle name="_+31032004_093_inv_tdi_icx" xfId="91"/>
    <cellStyle name="_+31032004_093_inv_tdi_icx 2" xfId="92"/>
    <cellStyle name="_+31032004_093_inv_tdi_icx 2 2" xfId="93"/>
    <cellStyle name="_+31032004_093_inv_tdi_icx 2 3" xfId="2038"/>
    <cellStyle name="_+31032004_093_inv_tdi_icx 3" xfId="94"/>
    <cellStyle name="_+31032004_093_inv_tdi_icx 4" xfId="1619"/>
    <cellStyle name="_+BY943_25.06" xfId="95"/>
    <cellStyle name="_+BY943_25.06 2" xfId="96"/>
    <cellStyle name="_+BY943_25.06 2 2" xfId="97"/>
    <cellStyle name="_+BY943_25.06 2 3" xfId="1963"/>
    <cellStyle name="_+BY943_25.06 3" xfId="98"/>
    <cellStyle name="_+BY943_25.06 4" xfId="1620"/>
    <cellStyle name="_+CE5270-9695CA" xfId="99"/>
    <cellStyle name="_+CE5270-9695CA 2" xfId="100"/>
    <cellStyle name="_+CE5270-9695CA 2 2" xfId="101"/>
    <cellStyle name="_+CE5270-9695CA 2 3" xfId="2037"/>
    <cellStyle name="_+CE5270-9695CA 3" xfId="102"/>
    <cellStyle name="_+CE5270-9695CA 4" xfId="1634"/>
    <cellStyle name="_+inv_383_isx" xfId="103"/>
    <cellStyle name="_+inv_383_isx 2" xfId="104"/>
    <cellStyle name="_+inv_383_isx 2 2" xfId="105"/>
    <cellStyle name="_+inv_383_isx 2 3" xfId="2030"/>
    <cellStyle name="_+inv_383_isx 3" xfId="106"/>
    <cellStyle name="_+inv_383_isx 4" xfId="1635"/>
    <cellStyle name="_+inv_387_isx" xfId="107"/>
    <cellStyle name="_+inv_387_isx 2" xfId="108"/>
    <cellStyle name="_+inv_387_isx 2 2" xfId="109"/>
    <cellStyle name="_+inv_387_isx 2 3" xfId="2063"/>
    <cellStyle name="_+inv_387_isx 3" xfId="110"/>
    <cellStyle name="_+inv_387_isx 4" xfId="1636"/>
    <cellStyle name="_+inv_393_isx" xfId="111"/>
    <cellStyle name="_+inv_393_isx 2" xfId="112"/>
    <cellStyle name="_+inv_393_isx 2 2" xfId="113"/>
    <cellStyle name="_+inv_393_isx 2 3" xfId="2044"/>
    <cellStyle name="_+inv_393_isx 3" xfId="114"/>
    <cellStyle name="_+inv_393_isx 4" xfId="1638"/>
    <cellStyle name="_+inv_400_isx" xfId="115"/>
    <cellStyle name="_+inv_400_isx 2" xfId="116"/>
    <cellStyle name="_+inv_400_isx 2 2" xfId="117"/>
    <cellStyle name="_+inv_400_isx 2 3" xfId="2061"/>
    <cellStyle name="_+inv_400_isx 3" xfId="118"/>
    <cellStyle name="_+inv_400_isx 4" xfId="1640"/>
    <cellStyle name="_+Копия 27112003_127_inv_tdi_isx" xfId="119"/>
    <cellStyle name="_+Копия 27112003_127_inv_tdi_isx 2" xfId="120"/>
    <cellStyle name="_+Копия 27112003_127_inv_tdi_isx 2 2" xfId="121"/>
    <cellStyle name="_+Копия 27112003_127_inv_tdi_isx 2 3" xfId="2033"/>
    <cellStyle name="_+Копия 27112003_127_inv_tdi_isx 3" xfId="122"/>
    <cellStyle name="_+Копия 27112003_127_inv_tdi_isx 4" xfId="1637"/>
    <cellStyle name="_+предвар_EZZ554_04.02.04" xfId="123"/>
    <cellStyle name="_+предвар_EZZ554_04.02.04 2" xfId="124"/>
    <cellStyle name="_+предвар_EZZ554_04.02.04 2 2" xfId="125"/>
    <cellStyle name="_+предвар_EZZ554_04.02.04 2 3" xfId="2069"/>
    <cellStyle name="_+предвар_EZZ554_04.02.04 3" xfId="126"/>
    <cellStyle name="_+предвар_EZZ554_04.02.04 4" xfId="1641"/>
    <cellStyle name="_+Предвар_JEZ902_09.02" xfId="127"/>
    <cellStyle name="_+Предвар_JEZ902_09.02 2" xfId="128"/>
    <cellStyle name="_+Предвар_JEZ902_09.02 2 2" xfId="129"/>
    <cellStyle name="_+Предвар_JEZ902_09.02 2 3" xfId="2008"/>
    <cellStyle name="_+Предвар_JEZ902_09.02 3" xfId="130"/>
    <cellStyle name="_+Предвар_JEZ902_09.02 4" xfId="1642"/>
    <cellStyle name="_+Предвар_JEZ903_10.11" xfId="131"/>
    <cellStyle name="_+Предвар_JEZ903_10.11 2" xfId="132"/>
    <cellStyle name="_+Предвар_JEZ903_10.11 2 2" xfId="133"/>
    <cellStyle name="_+Предвар_JEZ903_10.11 2 3" xfId="2066"/>
    <cellStyle name="_+Предвар_JEZ903_10.11 3" xfId="134"/>
    <cellStyle name="_+Предвар_JEZ903_10.11 4" xfId="1643"/>
    <cellStyle name="_+Предвар_JEZ903_10.11final" xfId="135"/>
    <cellStyle name="_+Предвар_JEZ903_10.11final 2" xfId="136"/>
    <cellStyle name="_+Предвар_JEZ903_10.11final 2 2" xfId="137"/>
    <cellStyle name="_+Предвар_JEZ903_10.11final 2 3" xfId="2058"/>
    <cellStyle name="_+Предвар_JEZ903_10.11final 3" xfId="138"/>
    <cellStyle name="_+Предвар_JEZ903_10.11final 4" xfId="1644"/>
    <cellStyle name="_+Предвар_RBY943_11.08" xfId="139"/>
    <cellStyle name="_+Предвар_RBY943_11.08 2" xfId="140"/>
    <cellStyle name="_+Предвар_RBY943_11.08 2 2" xfId="141"/>
    <cellStyle name="_+Предвар_RBY943_11.08 2 3" xfId="1973"/>
    <cellStyle name="_+Предвар_RBY943_11.08 3" xfId="142"/>
    <cellStyle name="_+Предвар_RBY943_11.08 4" xfId="1646"/>
    <cellStyle name="_+Предвар_YCS-983_11.03.04" xfId="143"/>
    <cellStyle name="_+Предвар_YCS-983_11.03.04 2" xfId="144"/>
    <cellStyle name="_+Предвар_YCS-983_11.03.04 2 2" xfId="145"/>
    <cellStyle name="_+Предвар_YCS-983_11.03.04 2 3" xfId="2036"/>
    <cellStyle name="_+Предвар_YCS-983_11.03.04 3" xfId="146"/>
    <cellStyle name="_+Предвар_YCS-983_11.03.04 4" xfId="1648"/>
    <cellStyle name="_01-08-010-K422- term(1)" xfId="147"/>
    <cellStyle name="_01-08-010-K422- term(1) 2" xfId="148"/>
    <cellStyle name="_01-08-010-K422- term(1) 2 2" xfId="149"/>
    <cellStyle name="_01-08-010-K422- term(1) 2 3" xfId="1955"/>
    <cellStyle name="_01-08-010-K422- term(1) 3" xfId="150"/>
    <cellStyle name="_01-08-010-K422- term(1) 4" xfId="1649"/>
    <cellStyle name="_01-08-011-K421- term(1)" xfId="151"/>
    <cellStyle name="_01-08-011-K421- term(1) 2" xfId="152"/>
    <cellStyle name="_01-08-011-K421- term(1) 2 2" xfId="153"/>
    <cellStyle name="_01-08-011-K421- term(1) 2 3" xfId="2041"/>
    <cellStyle name="_01-08-011-K421- term(1) 3" xfId="154"/>
    <cellStyle name="_01-08-011-K421- term(1) 4" xfId="1651"/>
    <cellStyle name="_01-11-014-B297-_term(1)" xfId="155"/>
    <cellStyle name="_01-11-014-B297-_term(1) 2" xfId="156"/>
    <cellStyle name="_01-11-014-B297-_term(1) 2 2" xfId="157"/>
    <cellStyle name="_01-11-014-B297-_term(1) 2 3" xfId="2073"/>
    <cellStyle name="_01-11-014-B297-_term(1) 3" xfId="158"/>
    <cellStyle name="_01-11-014-B297-_term(1) 4" xfId="1652"/>
    <cellStyle name="_01-11-015-K425- term2" xfId="159"/>
    <cellStyle name="_01-11-015-K425- term2 2" xfId="160"/>
    <cellStyle name="_01-11-015-K425- term2 2 2" xfId="161"/>
    <cellStyle name="_01-11-015-K425- term2 2 3" xfId="2035"/>
    <cellStyle name="_01-11-015-K425- term2 3" xfId="162"/>
    <cellStyle name="_01-11-015-K425- term2 4" xfId="1654"/>
    <cellStyle name="_02-05-029-B297-term(1)" xfId="163"/>
    <cellStyle name="_02-05-029-B297-term(1) 2" xfId="164"/>
    <cellStyle name="_02-05-029-B297-term(1) 2 2" xfId="165"/>
    <cellStyle name="_02-05-029-B297-term(1) 2 3" xfId="2023"/>
    <cellStyle name="_02-05-029-B297-term(1) 3" xfId="166"/>
    <cellStyle name="_02-05-029-B297-term(1) 4" xfId="1656"/>
    <cellStyle name="_02-08-030-K421-term(1)" xfId="167"/>
    <cellStyle name="_02-08-030-K421-term(1) 2" xfId="168"/>
    <cellStyle name="_02-08-030-K421-term(1) 2 2" xfId="169"/>
    <cellStyle name="_02-08-030-K421-term(1) 2 3" xfId="2011"/>
    <cellStyle name="_02-08-030-K421-term(1) 3" xfId="170"/>
    <cellStyle name="_02-08-030-K421-term(1) 4" xfId="1612"/>
    <cellStyle name="_02-12-032-B297-term(1)" xfId="171"/>
    <cellStyle name="_02-12-032-B297-term(1) 2" xfId="172"/>
    <cellStyle name="_02-12-032-B297-term(1) 2 2" xfId="173"/>
    <cellStyle name="_02-12-032-B297-term(1) 2 3" xfId="2062"/>
    <cellStyle name="_02-12-032-B297-term(1) 3" xfId="174"/>
    <cellStyle name="_02-12-032-B297-term(1) 4" xfId="1657"/>
    <cellStyle name="_02-12-032-B297-term2(1)" xfId="175"/>
    <cellStyle name="_02-12-032-B297-term2(1) 2" xfId="176"/>
    <cellStyle name="_02-12-032-B297-term2(1) 2 2" xfId="177"/>
    <cellStyle name="_02-12-032-B297-term2(1) 2 3" xfId="1995"/>
    <cellStyle name="_02-12-032-B297-term2(1) 3" xfId="178"/>
    <cellStyle name="_02-12-032-B297-term2(1) 4" xfId="1658"/>
    <cellStyle name="_02-15-034-K421-term(1)" xfId="179"/>
    <cellStyle name="_02-15-034-K421-term(1) 2" xfId="180"/>
    <cellStyle name="_02-15-034-K421-term(1) 2 2" xfId="181"/>
    <cellStyle name="_02-15-034-K421-term(1) 2 3" xfId="2049"/>
    <cellStyle name="_02-15-034-K421-term(1) 3" xfId="182"/>
    <cellStyle name="_02-15-034-K421-term(1) 4" xfId="1659"/>
    <cellStyle name="_02-15-034-K425-term(1)" xfId="183"/>
    <cellStyle name="_02-15-034-K425-term(1) 2" xfId="184"/>
    <cellStyle name="_02-15-034-K425-term(1) 2 2" xfId="185"/>
    <cellStyle name="_02-15-034-K425-term(1) 2 3" xfId="2007"/>
    <cellStyle name="_02-15-034-K425-term(1) 3" xfId="186"/>
    <cellStyle name="_02-15-034-K425-term(1) 4" xfId="1660"/>
    <cellStyle name="_02-19-035-B297-term2" xfId="187"/>
    <cellStyle name="_02-19-035-B297-term2 2" xfId="188"/>
    <cellStyle name="_02-19-035-B297-term2 2 2" xfId="189"/>
    <cellStyle name="_02-19-035-B297-term2 2 3" xfId="1981"/>
    <cellStyle name="_02-19-035-B297-term2 3" xfId="190"/>
    <cellStyle name="_02-19-035-B297-term2 4" xfId="1661"/>
    <cellStyle name="_02-2-027-K422-term(1)" xfId="191"/>
    <cellStyle name="_02-2-027-K422-term(1) 2" xfId="192"/>
    <cellStyle name="_02-2-027-K422-term(1) 2 2" xfId="193"/>
    <cellStyle name="_02-2-027-K422-term(1) 2 3" xfId="2048"/>
    <cellStyle name="_02-2-027-K422-term(1) 3" xfId="194"/>
    <cellStyle name="_02-2-027-K422-term(1) 4" xfId="1618"/>
    <cellStyle name="_02-2-028-K425-term(1)" xfId="195"/>
    <cellStyle name="_02-2-028-K425-term(1) 2" xfId="196"/>
    <cellStyle name="_02-2-028-K425-term(1) 2 2" xfId="197"/>
    <cellStyle name="_02-2-028-K425-term(1) 2 3" xfId="2031"/>
    <cellStyle name="_02-2-028-K425-term(1) 3" xfId="198"/>
    <cellStyle name="_02-2-028-K425-term(1) 4" xfId="1662"/>
    <cellStyle name="_02-22-036-term(1)" xfId="199"/>
    <cellStyle name="_02-22-036-term(1) 2" xfId="200"/>
    <cellStyle name="_02-22-036-term(1) 2 2" xfId="201"/>
    <cellStyle name="_02-22-036-term(1) 2 3" xfId="1994"/>
    <cellStyle name="_02-22-036-term(1) 3" xfId="202"/>
    <cellStyle name="_02-22-036-term(1) 4" xfId="1647"/>
    <cellStyle name="_02-22-039-term" xfId="203"/>
    <cellStyle name="_02-22-039-term 2" xfId="204"/>
    <cellStyle name="_02-22-039-term 2 2" xfId="205"/>
    <cellStyle name="_02-22-039-term 2 3" xfId="1998"/>
    <cellStyle name="_02-22-039-term 3" xfId="206"/>
    <cellStyle name="_02-22-039-term 4" xfId="1663"/>
    <cellStyle name="_02-22-040-term(1)" xfId="207"/>
    <cellStyle name="_02-22-040-term(1) 2" xfId="208"/>
    <cellStyle name="_02-22-040-term(1) 2 2" xfId="209"/>
    <cellStyle name="_02-22-040-term(1) 2 3" xfId="1996"/>
    <cellStyle name="_02-22-040-term(1) 3" xfId="210"/>
    <cellStyle name="_02-22-040-term(1) 4" xfId="1665"/>
    <cellStyle name="_02-28-046-B809-term(1)" xfId="211"/>
    <cellStyle name="_02-28-046-B809-term(1) 2" xfId="212"/>
    <cellStyle name="_02-28-046-B809-term(1) 2 2" xfId="213"/>
    <cellStyle name="_02-28-046-B809-term(1) 2 3" xfId="1962"/>
    <cellStyle name="_02-28-046-B809-term(1) 3" xfId="214"/>
    <cellStyle name="_02-28-046-B809-term(1) 4" xfId="1666"/>
    <cellStyle name="_02-28-046-term(1)" xfId="215"/>
    <cellStyle name="_02-28-046-term(1) 2" xfId="216"/>
    <cellStyle name="_02-28-046-term(1) 2 2" xfId="217"/>
    <cellStyle name="_02-28-046-term(1) 2 3" xfId="2028"/>
    <cellStyle name="_02-28-046-term(1) 3" xfId="218"/>
    <cellStyle name="_02-28-046-term(1) 4" xfId="1667"/>
    <cellStyle name="_02-28-047-K421-term(1)" xfId="219"/>
    <cellStyle name="_02-28-047-K421-term(1) 2" xfId="220"/>
    <cellStyle name="_02-28-047-K421-term(1) 2 2" xfId="221"/>
    <cellStyle name="_02-28-047-K421-term(1) 2 3" xfId="2026"/>
    <cellStyle name="_02-28-047-K421-term(1) 3" xfId="222"/>
    <cellStyle name="_02-28-047-K421-term(1) 4" xfId="1668"/>
    <cellStyle name="_03_09Custom2" xfId="223"/>
    <cellStyle name="_03_09Custom2 2" xfId="224"/>
    <cellStyle name="_03_09Custom2 2 2" xfId="225"/>
    <cellStyle name="_03_09Custom2 2 3" xfId="1791"/>
    <cellStyle name="_03_09Custom2 3" xfId="226"/>
    <cellStyle name="_03-06-052-term(1)" xfId="227"/>
    <cellStyle name="_03-06-052-term(1) 2" xfId="228"/>
    <cellStyle name="_03-06-052-term(1) 2 2" xfId="229"/>
    <cellStyle name="_03-06-052-term(1) 2 3" xfId="2010"/>
    <cellStyle name="_03-06-052-term(1) 3" xfId="230"/>
    <cellStyle name="_03-06-052-term(1) 4" xfId="1670"/>
    <cellStyle name="_03-06-052-term2(1)" xfId="231"/>
    <cellStyle name="_03-06-052-term2(1) 2" xfId="232"/>
    <cellStyle name="_03-06-052-term2(1) 2 2" xfId="233"/>
    <cellStyle name="_03-06-052-term2(1) 2 3" xfId="2022"/>
    <cellStyle name="_03-06-052-term2(1) 3" xfId="234"/>
    <cellStyle name="_03-06-052-term2(1) 4" xfId="1664"/>
    <cellStyle name="_03-06-053-term(1)" xfId="235"/>
    <cellStyle name="_03-06-053-term(1) 2" xfId="236"/>
    <cellStyle name="_03-06-053-term(1) 2 2" xfId="237"/>
    <cellStyle name="_03-06-053-term(1) 2 3" xfId="2021"/>
    <cellStyle name="_03-06-053-term(1) 3" xfId="238"/>
    <cellStyle name="_03-06-053-term(1) 4" xfId="1671"/>
    <cellStyle name="_03-06-055-term(1)" xfId="239"/>
    <cellStyle name="_03-06-055-term(1) 2" xfId="240"/>
    <cellStyle name="_03-06-055-term(1) 2 2" xfId="241"/>
    <cellStyle name="_03-06-055-term(1) 2 3" xfId="2019"/>
    <cellStyle name="_03-06-055-term(1) 3" xfId="242"/>
    <cellStyle name="_03-06-055-term(1) 4" xfId="1626"/>
    <cellStyle name="_03-06-056-K422-term(1)" xfId="243"/>
    <cellStyle name="_03-06-056-K422-term(1) 2" xfId="244"/>
    <cellStyle name="_03-06-056-K422-term(1) 2 2" xfId="245"/>
    <cellStyle name="_03-06-056-K422-term(1) 2 3" xfId="2070"/>
    <cellStyle name="_03-06-056-K422-term(1) 3" xfId="246"/>
    <cellStyle name="_03-06-056-K422-term(1) 4" xfId="1672"/>
    <cellStyle name="_03-12-058-B810-term(1)" xfId="247"/>
    <cellStyle name="_03-12-058-B810-term(1) 2" xfId="248"/>
    <cellStyle name="_03-12-058-B810-term(1) 2 2" xfId="249"/>
    <cellStyle name="_03-12-058-B810-term(1) 2 3" xfId="2045"/>
    <cellStyle name="_03-12-058-B810-term(1) 3" xfId="250"/>
    <cellStyle name="_03-12-058-B810-term(1) 4" xfId="1673"/>
    <cellStyle name="_03-15-061-B297-exam2(1)" xfId="251"/>
    <cellStyle name="_03-15-061-B297-exam2(1) 2" xfId="252"/>
    <cellStyle name="_03-15-061-B297-exam2(1) 2 2" xfId="253"/>
    <cellStyle name="_03-15-061-B297-exam2(1) 2 3" xfId="1969"/>
    <cellStyle name="_03-15-061-B297-exam2(1) 3" xfId="254"/>
    <cellStyle name="_03-15-061-B297-exam2(1) 4" xfId="1674"/>
    <cellStyle name="_03-15-061-B297-term(1)" xfId="255"/>
    <cellStyle name="_03-15-061-B297-term(1) 2" xfId="256"/>
    <cellStyle name="_03-15-061-B297-term(1) 2 2" xfId="257"/>
    <cellStyle name="_03-15-061-B297-term(1) 2 3" xfId="2016"/>
    <cellStyle name="_03-15-061-B297-term(1) 3" xfId="258"/>
    <cellStyle name="_03-15-061-B297-term(1) 4" xfId="1675"/>
    <cellStyle name="_03-15-062-K425-term(1)" xfId="259"/>
    <cellStyle name="_03-15-062-K425-term(1) 2" xfId="260"/>
    <cellStyle name="_03-15-062-K425-term(1) 2 2" xfId="261"/>
    <cellStyle name="_03-15-062-K425-term(1) 2 3" xfId="2050"/>
    <cellStyle name="_03-15-062-K425-term(1) 3" xfId="262"/>
    <cellStyle name="_03-15-062-K425-term(1) 4" xfId="1676"/>
    <cellStyle name="_03-15-064-K421-term(1)" xfId="263"/>
    <cellStyle name="_03-15-064-K421-term(1) 2" xfId="264"/>
    <cellStyle name="_03-15-064-K421-term(1) 2 2" xfId="265"/>
    <cellStyle name="_03-15-064-K421-term(1) 2 3" xfId="1990"/>
    <cellStyle name="_03-15-064-K421-term(1) 3" xfId="266"/>
    <cellStyle name="_03-15-064-K421-term(1) 4" xfId="1677"/>
    <cellStyle name="_03-22-068-B297-term(1)" xfId="267"/>
    <cellStyle name="_03-22-068-B297-term(1) 2" xfId="268"/>
    <cellStyle name="_03-22-068-B297-term(1) 2 2" xfId="269"/>
    <cellStyle name="_03-22-068-B297-term(1) 2 3" xfId="1954"/>
    <cellStyle name="_03-22-068-B297-term(1) 3" xfId="270"/>
    <cellStyle name="_03-22-068-B297-term(1) 4" xfId="1678"/>
    <cellStyle name="_03-22-070-K425-term(1)" xfId="271"/>
    <cellStyle name="_03-22-070-K425-term(1) 2" xfId="272"/>
    <cellStyle name="_03-22-070-K425-term(1) 2 2" xfId="273"/>
    <cellStyle name="_03-22-070-K425-term(1) 2 3" xfId="2068"/>
    <cellStyle name="_03-22-070-K425-term(1) 3" xfId="274"/>
    <cellStyle name="_03-22-070-K425-term(1) 4" xfId="1625"/>
    <cellStyle name="_04-26-100-term2(1)" xfId="275"/>
    <cellStyle name="_04-26-100-term2(1) 2" xfId="276"/>
    <cellStyle name="_04-26-100-term2(1) 2 2" xfId="277"/>
    <cellStyle name="_04-26-100-term2(1) 2 3" xfId="2067"/>
    <cellStyle name="_04-26-100-term2(1) 3" xfId="278"/>
    <cellStyle name="_04-26-100-term2(1) 4" xfId="1679"/>
    <cellStyle name="_04-26-102-term(1)" xfId="279"/>
    <cellStyle name="_04-26-102-term(1) 2" xfId="280"/>
    <cellStyle name="_04-26-102-term(1) 2 2" xfId="281"/>
    <cellStyle name="_04-26-102-term(1) 2 3" xfId="2056"/>
    <cellStyle name="_04-26-102-term(1) 3" xfId="282"/>
    <cellStyle name="_04-26-102-term(1) 4" xfId="1680"/>
    <cellStyle name="_05 10 ткани АМИГ" xfId="283"/>
    <cellStyle name="_05 10 ткани АМИГ 2" xfId="284"/>
    <cellStyle name="_05 10 ткани АМИГ 2 2" xfId="285"/>
    <cellStyle name="_05 10 ткани АМИГ 2 3" xfId="1984"/>
    <cellStyle name="_05 10 ткани АМИГ 3" xfId="286"/>
    <cellStyle name="_05 10 ткани АМИГ 4" xfId="1681"/>
    <cellStyle name="_05-04-105-term(1)" xfId="287"/>
    <cellStyle name="_05-04-105-term(1) 2" xfId="288"/>
    <cellStyle name="_05-04-105-term(1) 2 2" xfId="289"/>
    <cellStyle name="_05-04-105-term(1) 2 3" xfId="2015"/>
    <cellStyle name="_05-04-105-term(1) 3" xfId="290"/>
    <cellStyle name="_05-04-105-term(1) 4" xfId="1682"/>
    <cellStyle name="_060404-04_03Custom-1" xfId="291"/>
    <cellStyle name="_060404-04_03Custom-1 2" xfId="292"/>
    <cellStyle name="_060404-04_03Custom-1 2 2" xfId="293"/>
    <cellStyle name="_060404-04_03Custom-1 2 3" xfId="1758"/>
    <cellStyle name="_060404-04_03Custom-1 3" xfId="294"/>
    <cellStyle name="_061211-12-11-244-B297-term(1)" xfId="295"/>
    <cellStyle name="_061211-12-11-244-B297-term(1) 2" xfId="296"/>
    <cellStyle name="_061211-12-11-244-B297-term(1) 2 2" xfId="297"/>
    <cellStyle name="_061211-12-11-244-B297-term(1) 2 3" xfId="2013"/>
    <cellStyle name="_061211-12-11-244-B297-term(1) 3" xfId="298"/>
    <cellStyle name="_061211-12-11-244-B297-term(1) 4" xfId="1684"/>
    <cellStyle name="_061220--12-21-257-K421-term" xfId="299"/>
    <cellStyle name="_061220--12-21-257-K421-term 2" xfId="300"/>
    <cellStyle name="_061220--12-21-257-K421-term 2 2" xfId="301"/>
    <cellStyle name="_061220--12-21-257-K421-term 2 3" xfId="2054"/>
    <cellStyle name="_061220--12-21-257-K421-term 3" xfId="302"/>
    <cellStyle name="_061220--12-21-257-K421-term 4" xfId="1685"/>
    <cellStyle name="_061221----12-21-258-term" xfId="303"/>
    <cellStyle name="_061221----12-21-258-term 2" xfId="304"/>
    <cellStyle name="_061221----12-21-258-term 2 2" xfId="305"/>
    <cellStyle name="_061221----12-21-258-term 2 3" xfId="1952"/>
    <cellStyle name="_061221----12-21-258-term 3" xfId="306"/>
    <cellStyle name="_061221----12-21-258-term 4" xfId="1686"/>
    <cellStyle name="_070111-proekt_778-1" xfId="307"/>
    <cellStyle name="_070111-proekt_778-1 2" xfId="308"/>
    <cellStyle name="_070111-proekt_778-1 2 2" xfId="309"/>
    <cellStyle name="_070111-proekt_778-1 2 3" xfId="1801"/>
    <cellStyle name="_070111-proekt_778-1 3" xfId="310"/>
    <cellStyle name="_070202-album13" xfId="311"/>
    <cellStyle name="_070202-album13 2" xfId="312"/>
    <cellStyle name="_070202-album13 2 2" xfId="313"/>
    <cellStyle name="_070202-album13 2 3" xfId="1777"/>
    <cellStyle name="_070202-album13 3" xfId="314"/>
    <cellStyle name="_07-02-151-term(1)" xfId="315"/>
    <cellStyle name="_08 12 Сантехника 3 кон-ра" xfId="316"/>
    <cellStyle name="_08 12 Сантехника 3 кон-ра 2" xfId="317"/>
    <cellStyle name="_08 12 Сантехника 3 кон-ра 2 2" xfId="318"/>
    <cellStyle name="_08 12 Сантехника 3 кон-ра 2 3" xfId="1977"/>
    <cellStyle name="_08 12 Сантехника 3 кон-ра 3" xfId="319"/>
    <cellStyle name="_08 12 Сантехника 3 кон-ра 4" xfId="1687"/>
    <cellStyle name="_093" xfId="320"/>
    <cellStyle name="_093 2" xfId="321"/>
    <cellStyle name="_093 2 2" xfId="322"/>
    <cellStyle name="_093 2 3" xfId="1987"/>
    <cellStyle name="_093 3" xfId="323"/>
    <cellStyle name="_093 4" xfId="1689"/>
    <cellStyle name="_095" xfId="324"/>
    <cellStyle name="_095 2" xfId="325"/>
    <cellStyle name="_095 2 2" xfId="326"/>
    <cellStyle name="_095 2 3" xfId="1804"/>
    <cellStyle name="_095 3" xfId="327"/>
    <cellStyle name="_097" xfId="328"/>
    <cellStyle name="_097 2" xfId="329"/>
    <cellStyle name="_097 2 2" xfId="330"/>
    <cellStyle name="_097 2 3" xfId="1806"/>
    <cellStyle name="_097 3" xfId="331"/>
    <cellStyle name="_11-15-210-K425-misha(1)" xfId="332"/>
    <cellStyle name="_11-15-210-K425-misha(1) 2" xfId="333"/>
    <cellStyle name="_11-15-210-K425-misha(1) 2 2" xfId="334"/>
    <cellStyle name="_11-15-210-K425-misha(1) 2 3" xfId="1988"/>
    <cellStyle name="_11-15-210-K425-misha(1) 3" xfId="335"/>
    <cellStyle name="_11-15-210-K425-misha(1) 4" xfId="1690"/>
    <cellStyle name="_11-20-214-K421-misha(1)" xfId="336"/>
    <cellStyle name="_11-20-214-K421-misha(1) 2" xfId="337"/>
    <cellStyle name="_11-20-214-K421-misha(1) 2 2" xfId="338"/>
    <cellStyle name="_11-20-214-K421-misha(1) 2 3" xfId="2006"/>
    <cellStyle name="_11-20-214-K421-misha(1) 3" xfId="339"/>
    <cellStyle name="_11-20-214-K421-misha(1) 4" xfId="1691"/>
    <cellStyle name="_11-20-214-K421-misha-new(1)" xfId="340"/>
    <cellStyle name="_11-20-214-K421-misha-new(1) 2" xfId="341"/>
    <cellStyle name="_11-20-214-K421-misha-new(1) 2 2" xfId="342"/>
    <cellStyle name="_11-20-214-K421-misha-new(1) 2 3" xfId="2065"/>
    <cellStyle name="_11-20-214-K421-misha-new(1) 3" xfId="343"/>
    <cellStyle name="_11-20-214-K421-misha-new(1) 4" xfId="1692"/>
    <cellStyle name="_11-27-336-Sergey-zajavka-28 (2)" xfId="344"/>
    <cellStyle name="_11-39-228-K422-term(1)" xfId="345"/>
    <cellStyle name="_11-39-228-K422-term(1) 2" xfId="346"/>
    <cellStyle name="_11-39-228-K422-term(1) 2 2" xfId="347"/>
    <cellStyle name="_11-39-228-K422-term(1) 2 3" xfId="2014"/>
    <cellStyle name="_11-39-228-K422-term(1) 3" xfId="348"/>
    <cellStyle name="_11-39-228-K422-term(1) 4" xfId="1693"/>
    <cellStyle name="_12-07-242-K425-term(1)" xfId="349"/>
    <cellStyle name="_12-07-242-K425-term(1) 2" xfId="350"/>
    <cellStyle name="_12-07-242-K425-term(1) 2 2" xfId="351"/>
    <cellStyle name="_12-07-242-K425-term(1) 2 3" xfId="2072"/>
    <cellStyle name="_12-07-242-K425-term(1) 3" xfId="352"/>
    <cellStyle name="_12-07-242-K425-term(1) 4" xfId="1695"/>
    <cellStyle name="_12-07-243-K422-term(1)" xfId="353"/>
    <cellStyle name="_12-07-243-K422-term(1) 2" xfId="354"/>
    <cellStyle name="_12-07-243-K422-term(1) 2 2" xfId="355"/>
    <cellStyle name="_12-07-243-K422-term(1) 2 3" xfId="2005"/>
    <cellStyle name="_12-07-243-K422-term(1) 3" xfId="356"/>
    <cellStyle name="_12-07-243-K422-term(1) 4" xfId="1696"/>
    <cellStyle name="_12-11-251-K796-term(1)+" xfId="357"/>
    <cellStyle name="_12-11-251-K796-term(1)+ 2" xfId="358"/>
    <cellStyle name="_12-11-251-K796-term(1)+ 2 2" xfId="359"/>
    <cellStyle name="_12-11-251-K796-term(1)+ 2 3" xfId="2060"/>
    <cellStyle name="_12-11-251-K796-term(1)+ 3" xfId="360"/>
    <cellStyle name="_12-11-251-K796-term(1)+ 4" xfId="1697"/>
    <cellStyle name="_12-18-254-K425-term(1)" xfId="361"/>
    <cellStyle name="_12-18-254-K425-term(1) 2" xfId="362"/>
    <cellStyle name="_12-18-254-K425-term(1) 2 2" xfId="363"/>
    <cellStyle name="_12-18-254-K425-term(1) 2 3" xfId="2003"/>
    <cellStyle name="_12-18-254-K425-term(1) 3" xfId="364"/>
    <cellStyle name="_12-18-254-K425-term(1) 4" xfId="1617"/>
    <cellStyle name="_12-21-257-K421-term2(1)" xfId="365"/>
    <cellStyle name="_12-21-257-K421-term2(1) 2" xfId="366"/>
    <cellStyle name="_12-21-257-K421-term2(1) 2 2" xfId="367"/>
    <cellStyle name="_12-21-257-K421-term2(1) 2 3" xfId="2002"/>
    <cellStyle name="_12-21-257-K421-term2(1) 3" xfId="368"/>
    <cellStyle name="_12-21-257-K421-term2(1) 4" xfId="1698"/>
    <cellStyle name="_14-10-02 T- I-034-N-02-101402 M-1356 W-16000" xfId="369"/>
    <cellStyle name="_14-10-02 T- I-034-N-02-101402 M-1356 W-16000 2" xfId="370"/>
    <cellStyle name="_14-10-02 T- I-034-N-02-101402 M-1356 W-16000 2 2" xfId="371"/>
    <cellStyle name="_14-10-02 T- I-034-N-02-101402 M-1356 W-16000 2 2 2" xfId="372"/>
    <cellStyle name="_14-10-02 T- I-034-N-02-101402 M-1356 W-16000 2 2 3" xfId="1813"/>
    <cellStyle name="_14-10-02 T- I-034-N-02-101402 M-1356 W-16000 2 3" xfId="373"/>
    <cellStyle name="_14-10-02 T- I-034-N-02-101402 M-1356 W-16000 3" xfId="374"/>
    <cellStyle name="_14-10-02 T- I-034-N-02-101402 M-1356 W-16000 3 2" xfId="375"/>
    <cellStyle name="_14-10-02 T- I-034-N-02-101402 M-1356 W-16000 3 3" xfId="1812"/>
    <cellStyle name="_14-10-02 T- I-034-N-02-101402 M-1356 W-16000 4" xfId="376"/>
    <cellStyle name="_14-10-02 T- I-034-N-02-101402 M-1356 W-16000__бланк расчета" xfId="377"/>
    <cellStyle name="_14-10-02 T- I-034-N-02-101402 M-1356 W-16000__бланк расчета 2" xfId="378"/>
    <cellStyle name="_14-10-02 T- I-034-N-02-101402 M-1356 W-16000__бланк расчета 2 2" xfId="379"/>
    <cellStyle name="_14-10-02 T- I-034-N-02-101402 M-1356 W-16000__бланк расчета 2 2 2" xfId="380"/>
    <cellStyle name="_14-10-02 T- I-034-N-02-101402 M-1356 W-16000__бланк расчета 2 2 3" xfId="1798"/>
    <cellStyle name="_14-10-02 T- I-034-N-02-101402 M-1356 W-16000__бланк расчета 2 3" xfId="381"/>
    <cellStyle name="_14-10-02 T- I-034-N-02-101402 M-1356 W-16000__бланк расчета 3" xfId="382"/>
    <cellStyle name="_14-10-02 T- I-034-N-02-101402 M-1356 W-16000__бланк расчета 3 2" xfId="383"/>
    <cellStyle name="_14-10-02 T- I-034-N-02-101402 M-1356 W-16000__бланк расчета 3 3" xfId="1756"/>
    <cellStyle name="_14-10-02 T- I-034-N-02-101402 M-1356 W-16000__бланк расчета 4" xfId="384"/>
    <cellStyle name="_14-10-02 T- I-034-N-02-101402 M-1356 W-16000__Расчет" xfId="385"/>
    <cellStyle name="_14-10-02 T- I-034-N-02-101402 M-1356 W-16000__Расчет 2" xfId="386"/>
    <cellStyle name="_14-10-02 T- I-034-N-02-101402 M-1356 W-16000__Расчет 2 2" xfId="387"/>
    <cellStyle name="_14-10-02 T- I-034-N-02-101402 M-1356 W-16000__Расчет 2 3" xfId="1754"/>
    <cellStyle name="_14-10-02 T- I-034-N-02-101402 M-1356 W-16000__Расчет 3" xfId="388"/>
    <cellStyle name="_14-10-02 T- I-034-N-02-101402 M-1356 W-16000__Расчет_1" xfId="389"/>
    <cellStyle name="_14-10-02 T- I-034-N-02-101402 M-1356 W-16000__Расчет_1 2" xfId="390"/>
    <cellStyle name="_14-10-02 T- I-034-N-02-101402 M-1356 W-16000__Расчет_1 2 2" xfId="391"/>
    <cellStyle name="_14-10-02 T- I-034-N-02-101402 M-1356 W-16000__Расчет_1 2 3" xfId="1814"/>
    <cellStyle name="_14-10-02 T- I-034-N-02-101402 M-1356 W-16000__Расчет_1 3" xfId="392"/>
    <cellStyle name="_14-10-02 T- I-034-N-02-101402 M-1356 W-16000_1" xfId="393"/>
    <cellStyle name="_14-10-02 T- I-034-N-02-101402 M-1356 W-16000_1 2" xfId="394"/>
    <cellStyle name="_14-10-02 T- I-034-N-02-101402 M-1356 W-16000_1 2 2" xfId="395"/>
    <cellStyle name="_14-10-02 T- I-034-N-02-101402 M-1356 W-16000_1 2 3" xfId="1815"/>
    <cellStyle name="_14-10-02 T- I-034-N-02-101402 M-1356 W-16000_1 3" xfId="396"/>
    <cellStyle name="_14-10-02 T- I-034-N-02-101402 M-1356 W-16000_11-27-336-Sergey-zajavka-28 (2)" xfId="397"/>
    <cellStyle name="_14-10-02 T- I-034-N-02-101402 M-1356 W-16000_11-27-336-Sergey-zajavka-28 (2) 2" xfId="398"/>
    <cellStyle name="_14-10-02 T- I-034-N-02-101402 M-1356 W-16000_11-27-336-Sergey-zajavka-28 (2) 2 2" xfId="399"/>
    <cellStyle name="_14-10-02 T- I-034-N-02-101402 M-1356 W-16000_11-27-336-Sergey-zajavka-28 (2) 2 3" xfId="1817"/>
    <cellStyle name="_14-10-02 T- I-034-N-02-101402 M-1356 W-16000_11-27-336-Sergey-zajavka-28 (2) 3" xfId="400"/>
    <cellStyle name="_19,071" xfId="401"/>
    <cellStyle name="_19,071 2" xfId="402"/>
    <cellStyle name="_19,071 2 2" xfId="403"/>
    <cellStyle name="_19,071 2 3" xfId="2034"/>
    <cellStyle name="_19,071 3" xfId="404"/>
    <cellStyle name="_19,071 4" xfId="1616"/>
    <cellStyle name="_299" xfId="405"/>
    <cellStyle name="_299 2" xfId="406"/>
    <cellStyle name="_299 2 2" xfId="407"/>
    <cellStyle name="_299 2 3" xfId="1580"/>
    <cellStyle name="_299 3" xfId="408"/>
    <cellStyle name="_299 3 2" xfId="409"/>
    <cellStyle name="_299 3 3" xfId="1579"/>
    <cellStyle name="_299 4" xfId="410"/>
    <cellStyle name="_299 4 2" xfId="411"/>
    <cellStyle name="_299 5" xfId="412"/>
    <cellStyle name="_338.карго    Спецификация" xfId="413"/>
    <cellStyle name="_338.карго    Спецификация 2" xfId="414"/>
    <cellStyle name="_338.карго    Спецификация 2 2" xfId="415"/>
    <cellStyle name="_338.карго    Спецификация 2 3" xfId="1992"/>
    <cellStyle name="_338.карго    Спецификация 3" xfId="416"/>
    <cellStyle name="_338.карго    Спецификация 4" xfId="1669"/>
    <cellStyle name="_38  week на подготовку (2)" xfId="417"/>
    <cellStyle name="_38  week на подготовку (2) 2" xfId="418"/>
    <cellStyle name="_38  week на подготовку (2) 2 2" xfId="419"/>
    <cellStyle name="_38  week на подготовку (2) 2 3" xfId="2042"/>
    <cellStyle name="_38  week на подготовку (2) 3" xfId="420"/>
    <cellStyle name="_38  week на подготовку (2) 4" xfId="1645"/>
    <cellStyle name="_38 нед имак взросл" xfId="421"/>
    <cellStyle name="_38 нед имак взросл 2" xfId="422"/>
    <cellStyle name="_38 нед имак взросл 2 2" xfId="423"/>
    <cellStyle name="_38 нед имак взросл 2 3" xfId="1959"/>
    <cellStyle name="_38 нед имак взросл 3" xfId="424"/>
    <cellStyle name="_38 нед имак взросл 4" xfId="1699"/>
    <cellStyle name="_43 week на подготовку" xfId="425"/>
    <cellStyle name="_43 week на подготовку 2" xfId="426"/>
    <cellStyle name="_43 week на подготовку 2 2" xfId="427"/>
    <cellStyle name="_43 week на подготовку 2 3" xfId="2064"/>
    <cellStyle name="_43 week на подготовку 3" xfId="428"/>
    <cellStyle name="_43 week на подготовку 4" xfId="1622"/>
    <cellStyle name="_496" xfId="429"/>
    <cellStyle name="_784-220104табл+" xfId="430"/>
    <cellStyle name="_784-220104табл+ 2" xfId="431"/>
    <cellStyle name="_784-220104табл+ 2 2" xfId="432"/>
    <cellStyle name="_784-220104табл+ 2 3" xfId="2043"/>
    <cellStyle name="_784-220104табл+ 3" xfId="433"/>
    <cellStyle name="_784-220104табл+ 4" xfId="1700"/>
    <cellStyle name="_CARGO" xfId="434"/>
    <cellStyle name="_CARGO 2" xfId="435"/>
    <cellStyle name="_CARGO 2 2" xfId="436"/>
    <cellStyle name="_CARGO 2 3" xfId="1786"/>
    <cellStyle name="_CARGO 3" xfId="437"/>
    <cellStyle name="_CMR tools" xfId="438"/>
    <cellStyle name="_CMR tools 2" xfId="439"/>
    <cellStyle name="_CMR tools 2 2" xfId="440"/>
    <cellStyle name="_CMR tools 2 3" xfId="1999"/>
    <cellStyle name="_CMR tools 3" xfId="441"/>
    <cellStyle name="_CMR tools 4" xfId="1650"/>
    <cellStyle name="_doc" xfId="442"/>
    <cellStyle name="_doc 088" xfId="443"/>
    <cellStyle name="_doc 088 2" xfId="444"/>
    <cellStyle name="_doc 088 2 2" xfId="445"/>
    <cellStyle name="_doc 088 2 3" xfId="1997"/>
    <cellStyle name="_doc 088 3" xfId="446"/>
    <cellStyle name="_doc 088 4" xfId="1702"/>
    <cellStyle name="_doc 2" xfId="447"/>
    <cellStyle name="_doc 2 2" xfId="448"/>
    <cellStyle name="_doc 2 3" xfId="1951"/>
    <cellStyle name="_doc 3" xfId="449"/>
    <cellStyle name="_doc 4" xfId="1701"/>
    <cellStyle name="_doc_1" xfId="450"/>
    <cellStyle name="_doc_1 2" xfId="451"/>
    <cellStyle name="_doc_1 2 2" xfId="452"/>
    <cellStyle name="_doc_1 2 3" xfId="1788"/>
    <cellStyle name="_doc_1 3" xfId="453"/>
    <cellStyle name="_docs запчасти" xfId="454"/>
    <cellStyle name="_docs запчасти 2" xfId="455"/>
    <cellStyle name="_docs запчасти 2 2" xfId="456"/>
    <cellStyle name="_docs запчасти 2 2 2" xfId="457"/>
    <cellStyle name="_docs запчасти 2 2 3" xfId="1821"/>
    <cellStyle name="_docs запчасти 2 3" xfId="458"/>
    <cellStyle name="_docs запчасти 3" xfId="459"/>
    <cellStyle name="_docs запчасти 3 2" xfId="460"/>
    <cellStyle name="_docs запчасти 3 3" xfId="1785"/>
    <cellStyle name="_docs запчасти 4" xfId="461"/>
    <cellStyle name="_docs запчасти__бланк расчета" xfId="462"/>
    <cellStyle name="_docs запчасти__бланк расчета 2" xfId="463"/>
    <cellStyle name="_docs запчасти__бланк расчета 2 2" xfId="464"/>
    <cellStyle name="_docs запчасти__бланк расчета 2 2 2" xfId="465"/>
    <cellStyle name="_docs запчасти__бланк расчета 2 2 3" xfId="1823"/>
    <cellStyle name="_docs запчасти__бланк расчета 2 3" xfId="466"/>
    <cellStyle name="_docs запчасти__бланк расчета 3" xfId="467"/>
    <cellStyle name="_docs запчасти__бланк расчета 3 2" xfId="468"/>
    <cellStyle name="_docs запчасти__бланк расчета 3 3" xfId="1822"/>
    <cellStyle name="_docs запчасти__бланк расчета 4" xfId="469"/>
    <cellStyle name="_docs запчасти__Расчет" xfId="470"/>
    <cellStyle name="_docs запчасти__Расчет 2" xfId="471"/>
    <cellStyle name="_docs запчасти__Расчет 2 2" xfId="472"/>
    <cellStyle name="_docs запчасти__Расчет 2 3" xfId="1824"/>
    <cellStyle name="_docs запчасти__Расчет 3" xfId="473"/>
    <cellStyle name="_docs запчасти__Расчет_1" xfId="474"/>
    <cellStyle name="_docs запчасти__Расчет_1 2" xfId="475"/>
    <cellStyle name="_docs запчасти__Расчет_1 2 2" xfId="476"/>
    <cellStyle name="_docs запчасти__Расчет_1 2 3" xfId="1825"/>
    <cellStyle name="_docs запчасти__Расчет_1 3" xfId="477"/>
    <cellStyle name="_docs запчасти_1" xfId="478"/>
    <cellStyle name="_docs запчасти_1 2" xfId="479"/>
    <cellStyle name="_docs запчасти_1 2 2" xfId="480"/>
    <cellStyle name="_docs запчасти_1 2 3" xfId="1826"/>
    <cellStyle name="_docs запчасти_1 3" xfId="481"/>
    <cellStyle name="_docs запчасти_11-27-336-Sergey-zajavka-28 (2)" xfId="482"/>
    <cellStyle name="_docs запчасти_11-27-336-Sergey-zajavka-28 (2) 2" xfId="483"/>
    <cellStyle name="_docs запчасти_11-27-336-Sergey-zajavka-28 (2) 2 2" xfId="484"/>
    <cellStyle name="_docs запчасти_11-27-336-Sergey-zajavka-28 (2) 2 3" xfId="1827"/>
    <cellStyle name="_docs запчасти_11-27-336-Sergey-zajavka-28 (2) 3" xfId="485"/>
    <cellStyle name="_Documents tools 28,10" xfId="486"/>
    <cellStyle name="_Documents tools 28,10 2" xfId="487"/>
    <cellStyle name="_Documents tools 28,10 2 2" xfId="488"/>
    <cellStyle name="_Documents tools 28,10 2 3" xfId="2027"/>
    <cellStyle name="_Documents tools 28,10 3" xfId="489"/>
    <cellStyle name="_Documents tools 28,10 4" xfId="1703"/>
    <cellStyle name="_Documents tools 28,10-29" xfId="490"/>
    <cellStyle name="_Documents tools 28,10-29 2" xfId="491"/>
    <cellStyle name="_Documents tools 28,10-29 2 2" xfId="492"/>
    <cellStyle name="_Documents tools 28,10-29 2 3" xfId="1978"/>
    <cellStyle name="_Documents tools 28,10-29 3" xfId="493"/>
    <cellStyle name="_Documents tools 28,10-29 4" xfId="1704"/>
    <cellStyle name="_Domod.8 658" xfId="494"/>
    <cellStyle name="_Domod.8 658 2" xfId="495"/>
    <cellStyle name="_Domod.8 658 2 2" xfId="496"/>
    <cellStyle name="_Domod.8 658 2 3" xfId="1993"/>
    <cellStyle name="_Domod.8 658 3" xfId="497"/>
    <cellStyle name="_Domod.8 658 4" xfId="1705"/>
    <cellStyle name="_ET_STYLE_NoName_00_" xfId="498"/>
    <cellStyle name="_ET_STYLE_NoName_00_ 2" xfId="499"/>
    <cellStyle name="_ET_STYLE_NoName_00_ 2 2" xfId="500"/>
    <cellStyle name="_ET_STYLE_NoName_00_ 2 3" xfId="1582"/>
    <cellStyle name="_ET_STYLE_NoName_00_ 3" xfId="501"/>
    <cellStyle name="_ET_STYLE_NoName_00_ 3 2" xfId="502"/>
    <cellStyle name="_ET_STYLE_NoName_00_ 3 2 2" xfId="503"/>
    <cellStyle name="_ET_STYLE_NoName_00_ 3 2 3" xfId="1991"/>
    <cellStyle name="_ET_STYLE_NoName_00_ 3 3" xfId="504"/>
    <cellStyle name="_ET_STYLE_NoName_00_ 3 4" xfId="1706"/>
    <cellStyle name="_ET_STYLE_NoName_00_ 4" xfId="505"/>
    <cellStyle name="_ET_STYLE_NoName_00_ 5" xfId="1581"/>
    <cellStyle name="_FESU5128615  2010-5-11俄方装箱明细" xfId="506"/>
    <cellStyle name="_FESU5128615  2010-5-11俄方装箱明细 2" xfId="507"/>
    <cellStyle name="_FESU5128615  2010-5-11俄方装箱明细 2 2" xfId="508"/>
    <cellStyle name="_FESU5128615  2010-5-11俄方装箱明细 2 3" xfId="1831"/>
    <cellStyle name="_FESU5128615  2010-5-11俄方装箱明细 3" xfId="509"/>
    <cellStyle name="_INV_030-1_ispr" xfId="510"/>
    <cellStyle name="_INV_030-1_ispr 2" xfId="511"/>
    <cellStyle name="_INV_030-1_ispr 2 2" xfId="512"/>
    <cellStyle name="_INV_030-1_ispr 2 3" xfId="2000"/>
    <cellStyle name="_INV_030-1_ispr 3" xfId="513"/>
    <cellStyle name="_INV_030-1_ispr 4" xfId="1694"/>
    <cellStyle name="_inv_171_isx" xfId="514"/>
    <cellStyle name="_inv_171_isx 2" xfId="515"/>
    <cellStyle name="_inv_171_isx 2 2" xfId="516"/>
    <cellStyle name="_inv_171_isx 2 3" xfId="2009"/>
    <cellStyle name="_inv_171_isx 3" xfId="517"/>
    <cellStyle name="_inv_171_isx 4" xfId="1707"/>
    <cellStyle name="_INV_373_ispr" xfId="518"/>
    <cellStyle name="_INV_373_ispr 2" xfId="519"/>
    <cellStyle name="_INV_373_ispr 2 2" xfId="520"/>
    <cellStyle name="_INV_373_ispr 2 3" xfId="1989"/>
    <cellStyle name="_INV_373_ispr 3" xfId="521"/>
    <cellStyle name="_INV_373_ispr 4" xfId="1708"/>
    <cellStyle name="_INV_449-1_ispr" xfId="522"/>
    <cellStyle name="_INV_449-1_ispr 2" xfId="523"/>
    <cellStyle name="_INV_449-1_ispr 2 2" xfId="524"/>
    <cellStyle name="_INV_449-1_ispr 2 3" xfId="1986"/>
    <cellStyle name="_INV_449-1_ispr 3" xfId="525"/>
    <cellStyle name="_INV_449-1_ispr 4" xfId="1709"/>
    <cellStyle name="_INV_COMF_Byk_3101_1i" xfId="526"/>
    <cellStyle name="_INV_COMF_Byk_3101_1i 2" xfId="527"/>
    <cellStyle name="_INV_COMF_Byk_3101_1i 2 2" xfId="528"/>
    <cellStyle name="_INV_COMF_Byk_3101_1i 2 3" xfId="2004"/>
    <cellStyle name="_INV_COMF_Byk_3101_1i 3" xfId="529"/>
    <cellStyle name="_INV_COMF_Byk_3101_1i 4" xfId="1710"/>
    <cellStyle name="_invoi1ces" xfId="530"/>
    <cellStyle name="_invoi1ces 2" xfId="531"/>
    <cellStyle name="_invoi1ces 2 2" xfId="532"/>
    <cellStyle name="_invoi1ces 2 3" xfId="1744"/>
    <cellStyle name="_invoi1ces 3" xfId="533"/>
    <cellStyle name="_-invoices" xfId="534"/>
    <cellStyle name="_-invoices 2" xfId="535"/>
    <cellStyle name="_-invoices 2 2" xfId="536"/>
    <cellStyle name="_-invoices 2 3" xfId="1834"/>
    <cellStyle name="_-invoices 3" xfId="537"/>
    <cellStyle name="_Invoices0" xfId="538"/>
    <cellStyle name="_Invoices0 2" xfId="539"/>
    <cellStyle name="_Invoices0 2 2" xfId="540"/>
    <cellStyle name="_Invoices0 2 3" xfId="2029"/>
    <cellStyle name="_Invoices0 3" xfId="541"/>
    <cellStyle name="_Invoices0 4" xfId="1711"/>
    <cellStyle name="_invoices1" xfId="542"/>
    <cellStyle name="_invoices1 2" xfId="543"/>
    <cellStyle name="_invoices1 2 2" xfId="544"/>
    <cellStyle name="_invoices1 2 3" xfId="1792"/>
    <cellStyle name="_invoices1 3" xfId="545"/>
    <cellStyle name="_manifest" xfId="546"/>
    <cellStyle name="_manifest 2" xfId="547"/>
    <cellStyle name="_manifest 2 2" xfId="548"/>
    <cellStyle name="_manifest 2 3" xfId="1835"/>
    <cellStyle name="_manifest 3" xfId="549"/>
    <cellStyle name="_new 25-11-03 T- I- M- W- A- LAVER 643-021-2001 ЦАТ" xfId="550"/>
    <cellStyle name="_new 25-11-03 T- I- M- W- A- LAVER 643-021-2001 ЦАТ 2" xfId="551"/>
    <cellStyle name="_new 25-11-03 T- I- M- W- A- LAVER 643-021-2001 ЦАТ 2 2" xfId="552"/>
    <cellStyle name="_new 25-11-03 T- I- M- W- A- LAVER 643-021-2001 ЦАТ 2 2 2" xfId="553"/>
    <cellStyle name="_new 25-11-03 T- I- M- W- A- LAVER 643-021-2001 ЦАТ 2 2 3" xfId="1793"/>
    <cellStyle name="_new 25-11-03 T- I- M- W- A- LAVER 643-021-2001 ЦАТ 2 3" xfId="554"/>
    <cellStyle name="_new 25-11-03 T- I- M- W- A- LAVER 643-021-2001 ЦАТ 3" xfId="555"/>
    <cellStyle name="_new 25-11-03 T- I- M- W- A- LAVER 643-021-2001 ЦАТ 3 2" xfId="556"/>
    <cellStyle name="_new 25-11-03 T- I- M- W- A- LAVER 643-021-2001 ЦАТ 3 3" xfId="1752"/>
    <cellStyle name="_new 25-11-03 T- I- M- W- A- LAVER 643-021-2001 ЦАТ 4" xfId="557"/>
    <cellStyle name="_new 25-11-03 T- I- M- W- A- LAVER 643-021-2001 ЦАТ__бланк расчета" xfId="558"/>
    <cellStyle name="_new 25-11-03 T- I- M- W- A- LAVER 643-021-2001 ЦАТ__бланк расчета 2" xfId="559"/>
    <cellStyle name="_new 25-11-03 T- I- M- W- A- LAVER 643-021-2001 ЦАТ__бланк расчета 2 2" xfId="560"/>
    <cellStyle name="_new 25-11-03 T- I- M- W- A- LAVER 643-021-2001 ЦАТ__бланк расчета 2 2 2" xfId="561"/>
    <cellStyle name="_new 25-11-03 T- I- M- W- A- LAVER 643-021-2001 ЦАТ__бланк расчета 2 2 3" xfId="1837"/>
    <cellStyle name="_new 25-11-03 T- I- M- W- A- LAVER 643-021-2001 ЦАТ__бланк расчета 2 3" xfId="562"/>
    <cellStyle name="_new 25-11-03 T- I- M- W- A- LAVER 643-021-2001 ЦАТ__бланк расчета 3" xfId="563"/>
    <cellStyle name="_new 25-11-03 T- I- M- W- A- LAVER 643-021-2001 ЦАТ__бланк расчета 3 2" xfId="564"/>
    <cellStyle name="_new 25-11-03 T- I- M- W- A- LAVER 643-021-2001 ЦАТ__бланк расчета 3 3" xfId="1836"/>
    <cellStyle name="_new 25-11-03 T- I- M- W- A- LAVER 643-021-2001 ЦАТ__бланк расчета 4" xfId="565"/>
    <cellStyle name="_new 25-11-03 T- I- M- W- A- LAVER 643-021-2001 ЦАТ__Расчет" xfId="566"/>
    <cellStyle name="_new 25-11-03 T- I- M- W- A- LAVER 643-021-2001 ЦАТ__Расчет 2" xfId="567"/>
    <cellStyle name="_new 25-11-03 T- I- M- W- A- LAVER 643-021-2001 ЦАТ__Расчет 2 2" xfId="568"/>
    <cellStyle name="_new 25-11-03 T- I- M- W- A- LAVER 643-021-2001 ЦАТ__Расчет 2 3" xfId="1838"/>
    <cellStyle name="_new 25-11-03 T- I- M- W- A- LAVER 643-021-2001 ЦАТ__Расчет 3" xfId="569"/>
    <cellStyle name="_new 25-11-03 T- I- M- W- A- LAVER 643-021-2001 ЦАТ__Расчет_1" xfId="570"/>
    <cellStyle name="_new 25-11-03 T- I- M- W- A- LAVER 643-021-2001 ЦАТ__Расчет_1 2" xfId="571"/>
    <cellStyle name="_new 25-11-03 T- I- M- W- A- LAVER 643-021-2001 ЦАТ__Расчет_1 2 2" xfId="572"/>
    <cellStyle name="_new 25-11-03 T- I- M- W- A- LAVER 643-021-2001 ЦАТ__Расчет_1 2 3" xfId="1833"/>
    <cellStyle name="_new 25-11-03 T- I- M- W- A- LAVER 643-021-2001 ЦАТ__Расчет_1 3" xfId="573"/>
    <cellStyle name="_new 25-11-03 T- I- M- W- A- LAVER 643-021-2001 ЦАТ_1" xfId="574"/>
    <cellStyle name="_new 25-11-03 T- I- M- W- A- LAVER 643-021-2001 ЦАТ_1 2" xfId="575"/>
    <cellStyle name="_new 25-11-03 T- I- M- W- A- LAVER 643-021-2001 ЦАТ_1 2 2" xfId="576"/>
    <cellStyle name="_new 25-11-03 T- I- M- W- A- LAVER 643-021-2001 ЦАТ_1 2 3" xfId="1839"/>
    <cellStyle name="_new 25-11-03 T- I- M- W- A- LAVER 643-021-2001 ЦАТ_1 3" xfId="577"/>
    <cellStyle name="_new 25-11-03 T- I- M- W- A- LAVER 643-021-2001 ЦАТ_11-27-336-Sergey-zajavka-28 (2)" xfId="578"/>
    <cellStyle name="_new 25-11-03 T- I- M- W- A- LAVER 643-021-2001 ЦАТ_11-27-336-Sergey-zajavka-28 (2) 2" xfId="579"/>
    <cellStyle name="_new 25-11-03 T- I- M- W- A- LAVER 643-021-2001 ЦАТ_11-27-336-Sergey-zajavka-28 (2) 2 2" xfId="580"/>
    <cellStyle name="_new 25-11-03 T- I- M- W- A- LAVER 643-021-2001 ЦАТ_11-27-336-Sergey-zajavka-28 (2) 2 3" xfId="1840"/>
    <cellStyle name="_new 25-11-03 T- I- M- W- A- LAVER 643-021-2001 ЦАТ_11-27-336-Sergey-zajavka-28 (2) 3" xfId="581"/>
    <cellStyle name="_new invoice" xfId="582"/>
    <cellStyle name="_new invoice 2" xfId="583"/>
    <cellStyle name="_new invoice 2 2" xfId="584"/>
    <cellStyle name="_new invoice 2 3" xfId="1841"/>
    <cellStyle name="_new invoice 3" xfId="585"/>
    <cellStyle name="_packing" xfId="586"/>
    <cellStyle name="_packing 2" xfId="587"/>
    <cellStyle name="_packing 2 2" xfId="588"/>
    <cellStyle name="_packing 2 3" xfId="1842"/>
    <cellStyle name="_packing 3" xfId="589"/>
    <cellStyle name="_T-6974 КОМПЫ" xfId="590"/>
    <cellStyle name="_T-6974 КОМПЫ 2" xfId="591"/>
    <cellStyle name="_T-6974 КОМПЫ 2 2" xfId="592"/>
    <cellStyle name="_T-6974 КОМПЫ 2 3" xfId="2071"/>
    <cellStyle name="_T-6974 КОМПЫ 3" xfId="593"/>
    <cellStyle name="_T-6974 КОМПЫ 4" xfId="1713"/>
    <cellStyle name="_tab" xfId="594"/>
    <cellStyle name="_tab 2" xfId="595"/>
    <cellStyle name="_tab 2 2" xfId="596"/>
    <cellStyle name="_tab 2 2 2" xfId="597"/>
    <cellStyle name="_tab 2 2 3" xfId="1846"/>
    <cellStyle name="_tab 2 3" xfId="598"/>
    <cellStyle name="_tab 3" xfId="599"/>
    <cellStyle name="_tab 3 2" xfId="600"/>
    <cellStyle name="_tab 3 3" xfId="1843"/>
    <cellStyle name="_tab 4" xfId="601"/>
    <cellStyle name="_tab__бланк расчета" xfId="602"/>
    <cellStyle name="_tab__бланк расчета 2" xfId="603"/>
    <cellStyle name="_tab__бланк расчета 2 2" xfId="604"/>
    <cellStyle name="_tab__бланк расчета 2 2 2" xfId="605"/>
    <cellStyle name="_tab__бланк расчета 2 2 3" xfId="1848"/>
    <cellStyle name="_tab__бланк расчета 2 3" xfId="606"/>
    <cellStyle name="_tab__бланк расчета 3" xfId="607"/>
    <cellStyle name="_tab__бланк расчета 3 2" xfId="608"/>
    <cellStyle name="_tab__бланк расчета 3 3" xfId="1847"/>
    <cellStyle name="_tab__бланк расчета 4" xfId="609"/>
    <cellStyle name="_tab__Расчет" xfId="610"/>
    <cellStyle name="_tab__Расчет 2" xfId="611"/>
    <cellStyle name="_tab__Расчет 2 2" xfId="612"/>
    <cellStyle name="_tab__Расчет 2 3" xfId="1849"/>
    <cellStyle name="_tab__Расчет 3" xfId="613"/>
    <cellStyle name="_tab__Расчет_1" xfId="614"/>
    <cellStyle name="_tab__Расчет_1 2" xfId="615"/>
    <cellStyle name="_tab__Расчет_1 2 2" xfId="616"/>
    <cellStyle name="_tab__Расчет_1 2 3" xfId="1852"/>
    <cellStyle name="_tab__Расчет_1 3" xfId="617"/>
    <cellStyle name="_tab_1" xfId="618"/>
    <cellStyle name="_tab_1 2" xfId="619"/>
    <cellStyle name="_tab_1 2 2" xfId="620"/>
    <cellStyle name="_tab_1 2 3" xfId="1854"/>
    <cellStyle name="_tab_1 3" xfId="621"/>
    <cellStyle name="_tab_11-27-336-Sergey-zajavka-28 (2)" xfId="622"/>
    <cellStyle name="_tab_11-27-336-Sergey-zajavka-28 (2) 2" xfId="623"/>
    <cellStyle name="_tab_11-27-336-Sergey-zajavka-28 (2) 2 2" xfId="624"/>
    <cellStyle name="_tab_11-27-336-Sergey-zajavka-28 (2) 2 3" xfId="1750"/>
    <cellStyle name="_tab_11-27-336-Sergey-zajavka-28 (2) 3" xfId="625"/>
    <cellStyle name="_TORF - C459PX - IN ROAD" xfId="626"/>
    <cellStyle name="_TORF - C944CB - IN ROAD" xfId="627"/>
    <cellStyle name="_truck 784 codes-23" xfId="628"/>
    <cellStyle name="_truck 784 codes-23 2" xfId="629"/>
    <cellStyle name="_truck 784 codes-23 2 2" xfId="630"/>
    <cellStyle name="_truck 784 codes-23 2 2 2" xfId="631"/>
    <cellStyle name="_truck 784 codes-23 2 2 3" xfId="1855"/>
    <cellStyle name="_truck 784 codes-23 2 3" xfId="632"/>
    <cellStyle name="_truck 784 codes-23 3" xfId="633"/>
    <cellStyle name="_truck 784 codes-23 3 2" xfId="634"/>
    <cellStyle name="_truck 784 codes-23 3 3" xfId="1810"/>
    <cellStyle name="_truck 784 codes-23 4" xfId="635"/>
    <cellStyle name="_truck 784 codes-23__бланк расчета" xfId="636"/>
    <cellStyle name="_truck 784 codes-23__бланк расчета 2" xfId="637"/>
    <cellStyle name="_truck 784 codes-23__бланк расчета 2 2" xfId="638"/>
    <cellStyle name="_truck 784 codes-23__бланк расчета 2 2 2" xfId="639"/>
    <cellStyle name="_truck 784 codes-23__бланк расчета 2 2 3" xfId="1857"/>
    <cellStyle name="_truck 784 codes-23__бланк расчета 2 3" xfId="640"/>
    <cellStyle name="_truck 784 codes-23__бланк расчета 3" xfId="641"/>
    <cellStyle name="_truck 784 codes-23__бланк расчета 3 2" xfId="642"/>
    <cellStyle name="_truck 784 codes-23__бланк расчета 3 3" xfId="1856"/>
    <cellStyle name="_truck 784 codes-23__бланк расчета 4" xfId="643"/>
    <cellStyle name="_truck 784 codes-23__Расчет" xfId="644"/>
    <cellStyle name="_truck 784 codes-23__Расчет 2" xfId="645"/>
    <cellStyle name="_truck 784 codes-23__Расчет 2 2" xfId="646"/>
    <cellStyle name="_truck 784 codes-23__Расчет 2 3" xfId="1858"/>
    <cellStyle name="_truck 784 codes-23__Расчет 3" xfId="647"/>
    <cellStyle name="_truck 784 codes-23__Расчет_1" xfId="648"/>
    <cellStyle name="_truck 784 codes-23__Расчет_1 2" xfId="649"/>
    <cellStyle name="_truck 784 codes-23__Расчет_1 2 2" xfId="650"/>
    <cellStyle name="_truck 784 codes-23__Расчет_1 2 3" xfId="1802"/>
    <cellStyle name="_truck 784 codes-23__Расчет_1 3" xfId="651"/>
    <cellStyle name="_truck 784 codes-23_1" xfId="652"/>
    <cellStyle name="_truck 784 codes-23_1 2" xfId="653"/>
    <cellStyle name="_truck 784 codes-23_1 2 2" xfId="654"/>
    <cellStyle name="_truck 784 codes-23_1 2 3" xfId="1859"/>
    <cellStyle name="_truck 784 codes-23_1 3" xfId="655"/>
    <cellStyle name="_truck 784 codes-23_11-27-336-Sergey-zajavka-28 (2)" xfId="656"/>
    <cellStyle name="_truck 784 codes-23_11-27-336-Sergey-zajavka-28 (2) 2" xfId="657"/>
    <cellStyle name="_truck 784 codes-23_11-27-336-Sergey-zajavka-28 (2) 2 2" xfId="658"/>
    <cellStyle name="_truck 784 codes-23_11-27-336-Sergey-zajavka-28 (2) 2 3" xfId="1742"/>
    <cellStyle name="_truck 784 codes-23_11-27-336-Sergey-zajavka-28 (2) 3" xfId="659"/>
    <cellStyle name="_АВТОЗАПЧАСТИ 2" xfId="660"/>
    <cellStyle name="_АВТОЗАПЧАСТИ 2 2" xfId="661"/>
    <cellStyle name="_АВТОЗАПЧАСТИ 2 2 2" xfId="662"/>
    <cellStyle name="_АВТОЗАПЧАСТИ 2 2 3" xfId="1980"/>
    <cellStyle name="_АВТОЗАПЧАСТИ 2 3" xfId="663"/>
    <cellStyle name="_АВТОЗАПЧАСТИ 2 4" xfId="1714"/>
    <cellStyle name="_Автозапчасти-БОГДАНОВ 1534" xfId="664"/>
    <cellStyle name="_Автозапчасти-БОГДАНОВ 1534 2" xfId="665"/>
    <cellStyle name="_Автозапчасти-БОГДАНОВ 1534 2 2" xfId="666"/>
    <cellStyle name="_Автозапчасти-БОГДАНОВ 1534 2 3" xfId="1979"/>
    <cellStyle name="_Автозапчасти-БОГДАНОВ 1534 3" xfId="667"/>
    <cellStyle name="_Автозапчасти-БОГДАНОВ 1534 4" xfId="1715"/>
    <cellStyle name="_Германия 8828" xfId="668"/>
    <cellStyle name="_Германия 8828 2" xfId="669"/>
    <cellStyle name="_Германия 8828 2 2" xfId="670"/>
    <cellStyle name="_Германия 8828 2 3" xfId="1976"/>
    <cellStyle name="_Германия 8828 3" xfId="671"/>
    <cellStyle name="_Германия 8828 4" xfId="1716"/>
    <cellStyle name="_Германия-АВТО БОГДАНОВ 25.09.02.(411)" xfId="672"/>
    <cellStyle name="_Германия-АВТО БОГДАНОВ 25.09.02.(411) 2" xfId="673"/>
    <cellStyle name="_Германия-АВТО БОГДАНОВ 25.09.02.(411) 2 2" xfId="674"/>
    <cellStyle name="_Германия-АВТО БОГДАНОВ 25.09.02.(411) 2 3" xfId="1862"/>
    <cellStyle name="_Германия-АВТО БОГДАНОВ 25.09.02.(411) 3" xfId="675"/>
    <cellStyle name="_Германия-АВТОЗАПЧАСТИ 26.07.02.(2152)" xfId="676"/>
    <cellStyle name="_Германия-АВТОЗАПЧАСТИ 26.07.02.(2152) 2" xfId="677"/>
    <cellStyle name="_Германия-АВТОЗАПЧАСТИ 26.07.02.(2152) 2 2" xfId="678"/>
    <cellStyle name="_Германия-АВТОЗАПЧАСТИ 26.07.02.(2152) 2 3" xfId="2012"/>
    <cellStyle name="_Германия-АВТОЗАПЧАСТИ 26.07.02.(2152) 3" xfId="679"/>
    <cellStyle name="_Германия-АВТОЗАПЧАСТИ 26.07.02.(2152) 4" xfId="1653"/>
    <cellStyle name="_Детская обувь 38 нед" xfId="680"/>
    <cellStyle name="_Детская обувь 38 нед 2" xfId="681"/>
    <cellStyle name="_Детская обувь 38 нед 2 2" xfId="682"/>
    <cellStyle name="_Детская обувь 38 нед 2 3" xfId="2047"/>
    <cellStyle name="_Детская обувь 38 нед 3" xfId="683"/>
    <cellStyle name="_Детская обувь 38 нед 4" xfId="1718"/>
    <cellStyle name="_Загрузка 2 100 кл-08-серт1410-1168 100кл" xfId="684"/>
    <cellStyle name="_Загрузка 2 100 кл-08-серт1410-1168 100кл 2" xfId="685"/>
    <cellStyle name="_Загрузка 2 100 кл-08-серт1410-1168 100кл 2 2" xfId="686"/>
    <cellStyle name="_Загрузка 2 100 кл-08-серт1410-1168 100кл 2 3" xfId="1974"/>
    <cellStyle name="_Загрузка 2 100 кл-08-серт1410-1168 100кл 3" xfId="687"/>
    <cellStyle name="_Загрузка 2 100 кл-08-серт1410-1168 100кл 4" xfId="1719"/>
    <cellStyle name="_Загрузка 3 100 кл-16 1610-1171 100кл" xfId="688"/>
    <cellStyle name="_Загрузка 3 100 кл-16 1610-1171 100кл 2" xfId="689"/>
    <cellStyle name="_Загрузка 3 100 кл-16 1610-1171 100кл 2 2" xfId="690"/>
    <cellStyle name="_Загрузка 3 100 кл-16 1610-1171 100кл 2 3" xfId="1975"/>
    <cellStyle name="_Загрузка 3 100 кл-16 1610-1171 100кл 3" xfId="691"/>
    <cellStyle name="_Загрузка 3 100 кл-16 1610-1171 100кл 4" xfId="1720"/>
    <cellStyle name="_заявка запчасти 28-08-02 от Тети" xfId="692"/>
    <cellStyle name="_заявка запчасти 28-08-02 от Тети 2" xfId="693"/>
    <cellStyle name="_заявка запчасти 28-08-02 от Тети 2 2" xfId="694"/>
    <cellStyle name="_заявка запчасти 28-08-02 от Тети 2 3" xfId="2059"/>
    <cellStyle name="_заявка запчасти 28-08-02 от Тети 3" xfId="695"/>
    <cellStyle name="_заявка запчасти 28-08-02 от Тети 4" xfId="1721"/>
    <cellStyle name="_ИМАК пакинг" xfId="696"/>
    <cellStyle name="_ИМАК пакинг 2" xfId="697"/>
    <cellStyle name="_ИМАК пакинг 2 2" xfId="698"/>
    <cellStyle name="_ИМАК пакинг 2 3" xfId="1983"/>
    <cellStyle name="_ИМАК пакинг 3" xfId="699"/>
    <cellStyle name="_ИМАК пакинг 4" xfId="1722"/>
    <cellStyle name="_испр +предвар_EZZ554_29.01.04_1" xfId="700"/>
    <cellStyle name="_испр +предвар_EZZ554_29.01.04_1 2" xfId="701"/>
    <cellStyle name="_испр +предвар_EZZ554_29.01.04_1 2 2" xfId="702"/>
    <cellStyle name="_испр +предвар_EZZ554_29.01.04_1 2 3" xfId="1972"/>
    <cellStyle name="_испр +предвар_EZZ554_29.01.04_1 3" xfId="703"/>
    <cellStyle name="_испр +предвар_EZZ554_29.01.04_1 4" xfId="1723"/>
    <cellStyle name="_КАРГО" xfId="704"/>
    <cellStyle name="_КАРГО 2" xfId="705"/>
    <cellStyle name="_КАРГО 2 2" xfId="706"/>
    <cellStyle name="_КАРГО 2 3" xfId="1971"/>
    <cellStyle name="_КАРГО 3" xfId="707"/>
    <cellStyle name="_КАРГО 4" xfId="1724"/>
    <cellStyle name="_Копия на доки общий" xfId="708"/>
    <cellStyle name="_Копия на доки общий 2" xfId="709"/>
    <cellStyle name="_Копия на доки общий 2 2" xfId="710"/>
    <cellStyle name="_Копия на доки общий 2 3" xfId="1753"/>
    <cellStyle name="_Копия на доки общий 3" xfId="711"/>
    <cellStyle name="_НА 20,03,02" xfId="712"/>
    <cellStyle name="_НА 20,03,02 2" xfId="713"/>
    <cellStyle name="_НА 20,03,02 2 2" xfId="714"/>
    <cellStyle name="_НА 20,03,02 2 3" xfId="1970"/>
    <cellStyle name="_НА 20,03,02 3" xfId="715"/>
    <cellStyle name="_НА 20,03,02 4" xfId="1725"/>
    <cellStyle name="_на доки" xfId="716"/>
    <cellStyle name="_на доки 2" xfId="717"/>
    <cellStyle name="_на доки 2 2" xfId="718"/>
    <cellStyle name="_на доки 2 3" xfId="1866"/>
    <cellStyle name="_на доки 3" xfId="719"/>
    <cellStyle name="_На проверку автозапчасти 2152" xfId="720"/>
    <cellStyle name="_На проверку автозапчасти 2152 2" xfId="721"/>
    <cellStyle name="_На проверку автозапчасти 2152 2 2" xfId="722"/>
    <cellStyle name="_На проверку автозапчасти 2152 2 3" xfId="2025"/>
    <cellStyle name="_На проверку автозапчасти 2152 3" xfId="723"/>
    <cellStyle name="_На проверку автозапчасти 2152 4" xfId="1726"/>
    <cellStyle name="_НОВЫЕ ЗАПЧАСТ" xfId="724"/>
    <cellStyle name="_НОВЫЕ ЗАПЧАСТ 2" xfId="725"/>
    <cellStyle name="_НОВЫЕ ЗАПЧАСТ 2 2" xfId="726"/>
    <cellStyle name="_НОВЫЕ ЗАПЧАСТ 2 3" xfId="1982"/>
    <cellStyle name="_НОВЫЕ ЗАПЧАСТ 3" xfId="727"/>
    <cellStyle name="_НОВЫЕ ЗАПЧАСТ 4" xfId="1727"/>
    <cellStyle name="_НОВЫЙ ОБРАЗЕЦ PAGE1-2" xfId="728"/>
    <cellStyle name="_НОВЫЙ ОБРАЗЕЦ PAGE1-2 2" xfId="729"/>
    <cellStyle name="_НОВЫЙ ОБРАЗЕЦ PAGE1-2 2 2" xfId="730"/>
    <cellStyle name="_НОВЫЙ ОБРАЗЕЦ PAGE1-2 2 3" xfId="1961"/>
    <cellStyle name="_НОВЫЙ ОБРАЗЕЦ PAGE1-2 3" xfId="731"/>
    <cellStyle name="_НОВЫЙ ОБРАЗЕЦ PAGE1-2 4" xfId="1728"/>
    <cellStyle name="_онисание" xfId="732"/>
    <cellStyle name="_онисание 2" xfId="733"/>
    <cellStyle name="_онисание 2 2" xfId="734"/>
    <cellStyle name="_онисание 2 2 2" xfId="735"/>
    <cellStyle name="_онисание 2 2 3" xfId="1867"/>
    <cellStyle name="_онисание 2 3" xfId="736"/>
    <cellStyle name="_онисание 3" xfId="737"/>
    <cellStyle name="_онисание 3 2" xfId="738"/>
    <cellStyle name="_онисание 3 3" xfId="1819"/>
    <cellStyle name="_онисание 4" xfId="739"/>
    <cellStyle name="_онисание__бланк расчета" xfId="740"/>
    <cellStyle name="_онисание__бланк расчета 2" xfId="741"/>
    <cellStyle name="_онисание__бланк расчета 2 2" xfId="742"/>
    <cellStyle name="_онисание__бланк расчета 2 2 2" xfId="743"/>
    <cellStyle name="_онисание__бланк расчета 2 2 3" xfId="1869"/>
    <cellStyle name="_онисание__бланк расчета 2 3" xfId="744"/>
    <cellStyle name="_онисание__бланк расчета 3" xfId="745"/>
    <cellStyle name="_онисание__бланк расчета 3 2" xfId="746"/>
    <cellStyle name="_онисание__бланк расчета 3 3" xfId="1868"/>
    <cellStyle name="_онисание__бланк расчета 4" xfId="747"/>
    <cellStyle name="_онисание__Расчет" xfId="748"/>
    <cellStyle name="_онисание__Расчет 2" xfId="749"/>
    <cellStyle name="_онисание__Расчет 2 2" xfId="750"/>
    <cellStyle name="_онисание__Расчет 2 3" xfId="1751"/>
    <cellStyle name="_онисание__Расчет 3" xfId="751"/>
    <cellStyle name="_онисание_1" xfId="752"/>
    <cellStyle name="_онисание_1 2" xfId="753"/>
    <cellStyle name="_онисание_1 2 2" xfId="754"/>
    <cellStyle name="_онисание_1 2 3" xfId="1870"/>
    <cellStyle name="_онисание_1 3" xfId="755"/>
    <cellStyle name="_ПАКИНГ НА ОФОРМЛЕНИЕ без фото" xfId="756"/>
    <cellStyle name="_ПАКИНГ НА ОФОРМЛЕНИЕ без фото 2" xfId="757"/>
    <cellStyle name="_ПАКИНГ НА ОФОРМЛЕНИЕ без фото 2 2" xfId="758"/>
    <cellStyle name="_ПАКИНГ НА ОФОРМЛЕНИЕ без фото 2 3" xfId="1783"/>
    <cellStyle name="_ПАКИНГ НА ОФОРМЛЕНИЕ без фото 3" xfId="759"/>
    <cellStyle name="_Пер 3923 ЕВРОПА (Обвь)_Elche-1 (4)" xfId="760"/>
    <cellStyle name="_Пер 3923 ЕВРОПА (Обвь)_Elche-1 (4) 2" xfId="761"/>
    <cellStyle name="_Пер 3923 ЕВРОПА (Обвь)_Elche-1 (4) 2 2" xfId="762"/>
    <cellStyle name="_Пер 3923 ЕВРОПА (Обвь)_Elche-1 (4) 2 3" xfId="2053"/>
    <cellStyle name="_Пер 3923 ЕВРОПА (Обвь)_Elche-1 (4) 3" xfId="763"/>
    <cellStyle name="_Пер 3923 ЕВРОПА (Обвь)_Elche-1 (4) 4" xfId="1729"/>
    <cellStyle name="_Пер 4036 ЕВРОПА (Обвь)_Elche-2" xfId="764"/>
    <cellStyle name="_Пер 4036 ЕВРОПА (Обвь)_Elche-2 2" xfId="765"/>
    <cellStyle name="_Пер 4036 ЕВРОПА (Обвь)_Elche-2 2 2" xfId="766"/>
    <cellStyle name="_Пер 4036 ЕВРОПА (Обвь)_Elche-2 2 3" xfId="1968"/>
    <cellStyle name="_Пер 4036 ЕВРОПА (Обвь)_Elche-2 3" xfId="767"/>
    <cellStyle name="_Пер 4036 ЕВРОПА (Обвь)_Elche-2 4" xfId="1639"/>
    <cellStyle name="_Пер 4043 ЕВРОПА (Обувь)_Elche-3" xfId="768"/>
    <cellStyle name="_Пер 4043 ЕВРОПА (Обувь)_Elche-3 2" xfId="769"/>
    <cellStyle name="_Пер 4043 ЕВРОПА (Обувь)_Elche-3 2 2" xfId="770"/>
    <cellStyle name="_Пер 4043 ЕВРОПА (Обувь)_Elche-3 2 3" xfId="1967"/>
    <cellStyle name="_Пер 4043 ЕВРОПА (Обувь)_Elche-3 3" xfId="771"/>
    <cellStyle name="_Пер 4043 ЕВРОПА (Обувь)_Elche-3 4" xfId="1655"/>
    <cellStyle name="_Пер 5307 --ЕВРОПА-- (Станок)_CDLINE" xfId="772"/>
    <cellStyle name="_Пер 5307 --ЕВРОПА-- (Станок)_CDLINE 2" xfId="773"/>
    <cellStyle name="_Пер 5307 --ЕВРОПА-- (Станок)_CDLINE 2 2" xfId="774"/>
    <cellStyle name="_Пер 5307 --ЕВРОПА-- (Станок)_CDLINE 2 3" xfId="1966"/>
    <cellStyle name="_Пер 5307 --ЕВРОПА-- (Станок)_CDLINE 3" xfId="775"/>
    <cellStyle name="_Пер 5307 --ЕВРОПА-- (Станок)_CDLINE 4" xfId="1615"/>
    <cellStyle name="_перевод пакинга" xfId="776"/>
    <cellStyle name="_перевод пакинга 2" xfId="777"/>
    <cellStyle name="_перевод пакинга 2 2" xfId="778"/>
    <cellStyle name="_перевод пакинга 2 3" xfId="2024"/>
    <cellStyle name="_перевод пакинга 3" xfId="779"/>
    <cellStyle name="_перевод пакинга 4" xfId="1717"/>
    <cellStyle name="_предвар_EZZ554_04.02.04_final" xfId="780"/>
    <cellStyle name="_предвар_EZZ554_04.02.04_final 2" xfId="781"/>
    <cellStyle name="_предвар_EZZ554_04.02.04_final 2 2" xfId="782"/>
    <cellStyle name="_предвар_EZZ554_04.02.04_final 2 3" xfId="2018"/>
    <cellStyle name="_предвар_EZZ554_04.02.04_final 3" xfId="783"/>
    <cellStyle name="_предвар_EZZ554_04.02.04_final 4" xfId="1712"/>
    <cellStyle name="_Предвар_YCS-983_11.03.04" xfId="784"/>
    <cellStyle name="_Предвар_YCS-983_11.03.04 2" xfId="785"/>
    <cellStyle name="_Предвар_YCS-983_11.03.04 2 2" xfId="786"/>
    <cellStyle name="_Предвар_YCS-983_11.03.04 2 3" xfId="1965"/>
    <cellStyle name="_Предвар_YCS-983_11.03.04 3" xfId="787"/>
    <cellStyle name="_Предвар_YCS-983_11.03.04 4" xfId="1610"/>
    <cellStyle name="_расчет ЗАПЧАСТИ 10 09 2002" xfId="788"/>
    <cellStyle name="_расчет ЗАПЧАСТИ 10 09 2002 2" xfId="789"/>
    <cellStyle name="_расчет ЗАПЧАСТИ 10 09 2002 2 2" xfId="790"/>
    <cellStyle name="_расчет ЗАПЧАСТИ 10 09 2002 2 3" xfId="1957"/>
    <cellStyle name="_расчет ЗАПЧАСТИ 10 09 2002 3" xfId="791"/>
    <cellStyle name="_расчет ЗАПЧАСТИ 10 09 2002 4" xfId="1730"/>
    <cellStyle name="_Расчет Скандия" xfId="792"/>
    <cellStyle name="_Расчет Скандия 2" xfId="793"/>
    <cellStyle name="_Расчет Скандия 2 2" xfId="794"/>
    <cellStyle name="_Расчет Скандия 2 3" xfId="2001"/>
    <cellStyle name="_Расчет Скандия 3" xfId="795"/>
    <cellStyle name="_Расчет Скандия 4" xfId="1628"/>
    <cellStyle name="_Спецификация-РЭМ" xfId="796"/>
    <cellStyle name="_Спецификация-РЭМ 2" xfId="797"/>
    <cellStyle name="_Спецификация-РЭМ 2 2" xfId="798"/>
    <cellStyle name="_Спецификация-РЭМ 2 3" xfId="1964"/>
    <cellStyle name="_Спецификация-РЭМ 3" xfId="799"/>
    <cellStyle name="_Спецификация-РЭМ 4" xfId="1731"/>
    <cellStyle name="_т121" xfId="800"/>
    <cellStyle name="_т121 2" xfId="801"/>
    <cellStyle name="_т121 2 2" xfId="802"/>
    <cellStyle name="_т121 2 3" xfId="1872"/>
    <cellStyle name="_т121 3" xfId="803"/>
    <cellStyle name="_т121_070618-XXX-51" xfId="804"/>
    <cellStyle name="_т121_070618-XXX-51 2" xfId="805"/>
    <cellStyle name="_т121_070618-XXX-51 2 2" xfId="806"/>
    <cellStyle name="_т121_070618-XXX-51 2 3" xfId="1781"/>
    <cellStyle name="_т121_070618-XXX-51 3" xfId="807"/>
    <cellStyle name="_таблица для запроса (2)" xfId="808"/>
    <cellStyle name="_таблица для запроса (2) 2" xfId="809"/>
    <cellStyle name="_таблица для запроса (2) 2 2" xfId="810"/>
    <cellStyle name="_таблица для запроса (2) 2 3" xfId="1985"/>
    <cellStyle name="_таблица для запроса (2) 3" xfId="811"/>
    <cellStyle name="_таблица для запроса (2) 4" xfId="1732"/>
    <cellStyle name="_Форма инвойса UBCI" xfId="812"/>
    <cellStyle name="_Форма инвойса UBCI 2" xfId="813"/>
    <cellStyle name="_Форма инвойса UBCI 2 2" xfId="814"/>
    <cellStyle name="_Форма инвойса UBCI 2 3" xfId="1874"/>
    <cellStyle name="_Форма инвойса UBCI 3" xfId="815"/>
    <cellStyle name="_预发 铁路集装箱" xfId="816"/>
    <cellStyle name="_预发 铁路集装箱 2" xfId="817"/>
    <cellStyle name="_预发 铁路集装箱 2 2" xfId="818"/>
    <cellStyle name="_预发 铁路集装箱 2 3" xfId="1875"/>
    <cellStyle name="_预发 铁路集装箱 3" xfId="819"/>
    <cellStyle name="0,0_x000a__x000a_NA_x000a__x000a_" xfId="820"/>
    <cellStyle name="0,0_x000a__x000a_NA_x000a__x000a_ 2" xfId="821"/>
    <cellStyle name="0,0_x000a__x000a_NA_x000a__x000a_ 2 2" xfId="822"/>
    <cellStyle name="0,0_x000a__x000a_NA_x000a__x000a_ 2 3" xfId="1876"/>
    <cellStyle name="0,0_x000a__x000a_NA_x000a__x000a_ 3" xfId="823"/>
    <cellStyle name="0,0_x000d__x000a_NA_x000d__x000a_" xfId="824"/>
    <cellStyle name="0,0_x000d__x000a_NA_x000d__x000a_ 2" xfId="825"/>
    <cellStyle name="0,0_x000d__x000a_NA_x000d__x000a_ 2 2" xfId="826"/>
    <cellStyle name="0,0_x000d__x000a_NA_x000d__x000a_ 2 2 2" xfId="827"/>
    <cellStyle name="0,0_x000d__x000a_NA_x000d__x000a_ 2 2 3" xfId="1877"/>
    <cellStyle name="0,0_x000d__x000a_NA_x000d__x000a_ 2 3" xfId="828"/>
    <cellStyle name="0,0_x000d__x000a_NA_x000d__x000a_ 3" xfId="829"/>
    <cellStyle name="0,0_x000d__x000a_NA_x000d__x000a_ 3 2" xfId="830"/>
    <cellStyle name="0,0_x000d__x000a_NA_x000d__x000a_ 3 2 2" xfId="831"/>
    <cellStyle name="0,0_x000d__x000a_NA_x000d__x000a_ 3 2 3" xfId="1878"/>
    <cellStyle name="0,0_x000d__x000a_NA_x000d__x000a_ 3 3" xfId="832"/>
    <cellStyle name="0,0_x000d__x000a_NA_x000d__x000a_ 4" xfId="833"/>
    <cellStyle name="0,0_x000d__x000a_NA_x000d__x000a_ 5" xfId="1561"/>
    <cellStyle name="0,0_x005f_x000d__x005f_x000a_NA_x005f_x000d__x005f_x000a_" xfId="834"/>
    <cellStyle name="20% - ส่วนที่ถูกเน้น1" xfId="835"/>
    <cellStyle name="20% - ส่วนที่ถูกเน้น1 2" xfId="836"/>
    <cellStyle name="20% - ส่วนที่ถูกเน้น1 2 2" xfId="837"/>
    <cellStyle name="20% - ส่วนที่ถูกเน้น1 2 3" xfId="1879"/>
    <cellStyle name="20% - ส่วนที่ถูกเน้น1 3" xfId="838"/>
    <cellStyle name="20% - ส่วนที่ถูกเน้น2" xfId="839"/>
    <cellStyle name="20% - ส่วนที่ถูกเน้น2 2" xfId="840"/>
    <cellStyle name="20% - ส่วนที่ถูกเน้น2 2 2" xfId="841"/>
    <cellStyle name="20% - ส่วนที่ถูกเน้น2 2 3" xfId="1865"/>
    <cellStyle name="20% - ส่วนที่ถูกเน้น2 3" xfId="842"/>
    <cellStyle name="20% - ส่วนที่ถูกเน้น3" xfId="843"/>
    <cellStyle name="20% - ส่วนที่ถูกเน้น3 2" xfId="844"/>
    <cellStyle name="20% - ส่วนที่ถูกเน้น3 2 2" xfId="845"/>
    <cellStyle name="20% - ส่วนที่ถูกเน้น3 2 3" xfId="1808"/>
    <cellStyle name="20% - ส่วนที่ถูกเน้น3 3" xfId="846"/>
    <cellStyle name="20% - ส่วนที่ถูกเน้น4" xfId="847"/>
    <cellStyle name="20% - ส่วนที่ถูกเน้น4 2" xfId="848"/>
    <cellStyle name="20% - ส่วนที่ถูกเน้น4 2 2" xfId="849"/>
    <cellStyle name="20% - ส่วนที่ถูกเน้น4 2 3" xfId="1820"/>
    <cellStyle name="20% - ส่วนที่ถูกเน้น4 3" xfId="850"/>
    <cellStyle name="20% - ส่วนที่ถูกเน้น5" xfId="851"/>
    <cellStyle name="20% - ส่วนที่ถูกเน้น5 2" xfId="852"/>
    <cellStyle name="20% - ส่วนที่ถูกเน้น5 2 2" xfId="853"/>
    <cellStyle name="20% - ส่วนที่ถูกเน้น5 2 3" xfId="1880"/>
    <cellStyle name="20% - ส่วนที่ถูกเน้น5 3" xfId="854"/>
    <cellStyle name="20% - ส่วนที่ถูกเน้น6" xfId="855"/>
    <cellStyle name="20% - ส่วนที่ถูกเน้น6 2" xfId="856"/>
    <cellStyle name="20% - ส่วนที่ถูกเน้น6 2 2" xfId="857"/>
    <cellStyle name="20% - ส่วนที่ถูกเน้น6 2 3" xfId="1755"/>
    <cellStyle name="20% - ส่วนที่ถูกเน้น6 3" xfId="858"/>
    <cellStyle name="40% - ส่วนที่ถูกเน้น1" xfId="859"/>
    <cellStyle name="40% - ส่วนที่ถูกเน้น1 2" xfId="860"/>
    <cellStyle name="40% - ส่วนที่ถูกเน้น1 2 2" xfId="861"/>
    <cellStyle name="40% - ส่วนที่ถูกเน้น1 2 3" xfId="1881"/>
    <cellStyle name="40% - ส่วนที่ถูกเน้น1 3" xfId="862"/>
    <cellStyle name="40% - ส่วนที่ถูกเน้น2" xfId="863"/>
    <cellStyle name="40% - ส่วนที่ถูกเน้น2 2" xfId="864"/>
    <cellStyle name="40% - ส่วนที่ถูกเน้น2 2 2" xfId="865"/>
    <cellStyle name="40% - ส่วนที่ถูกเน้น2 2 3" xfId="1796"/>
    <cellStyle name="40% - ส่วนที่ถูกเน้น2 3" xfId="866"/>
    <cellStyle name="40% - ส่วนที่ถูกเน้น3" xfId="867"/>
    <cellStyle name="40% - ส่วนที่ถูกเน้น3 2" xfId="868"/>
    <cellStyle name="40% - ส่วนที่ถูกเน้น3 2 2" xfId="869"/>
    <cellStyle name="40% - ส่วนที่ถูกเน้น3 2 3" xfId="1882"/>
    <cellStyle name="40% - ส่วนที่ถูกเน้น3 3" xfId="870"/>
    <cellStyle name="40% - ส่วนที่ถูกเน้น4" xfId="871"/>
    <cellStyle name="40% - ส่วนที่ถูกเน้น4 2" xfId="872"/>
    <cellStyle name="40% - ส่วนที่ถูกเน้น4 2 2" xfId="873"/>
    <cellStyle name="40% - ส่วนที่ถูกเน้น4 2 3" xfId="1883"/>
    <cellStyle name="40% - ส่วนที่ถูกเน้น4 3" xfId="874"/>
    <cellStyle name="40% - ส่วนที่ถูกเน้น5" xfId="875"/>
    <cellStyle name="40% - ส่วนที่ถูกเน้น5 2" xfId="876"/>
    <cellStyle name="40% - ส่วนที่ถูกเน้น5 2 2" xfId="877"/>
    <cellStyle name="40% - ส่วนที่ถูกเน้น5 2 3" xfId="1794"/>
    <cellStyle name="40% - ส่วนที่ถูกเน้น5 3" xfId="878"/>
    <cellStyle name="40% - ส่วนที่ถูกเน้น6" xfId="879"/>
    <cellStyle name="40% - ส่วนที่ถูกเน้น6 2" xfId="880"/>
    <cellStyle name="40% - ส่วนที่ถูกเน้น6 2 2" xfId="881"/>
    <cellStyle name="40% - ส่วนที่ถูกเน้น6 2 3" xfId="1884"/>
    <cellStyle name="40% - ส่วนที่ถูกเน้น6 3" xfId="882"/>
    <cellStyle name="60% - ส่วนที่ถูกเน้น1" xfId="883"/>
    <cellStyle name="60% - ส่วนที่ถูกเน้น1 2" xfId="884"/>
    <cellStyle name="60% - ส่วนที่ถูกเน้น1 2 2" xfId="885"/>
    <cellStyle name="60% - ส่วนที่ถูกเน้น1 2 3" xfId="1886"/>
    <cellStyle name="60% - ส่วนที่ถูกเน้น1 3" xfId="886"/>
    <cellStyle name="60% - ส่วนที่ถูกเน้น2" xfId="887"/>
    <cellStyle name="60% - ส่วนที่ถูกเน้น2 2" xfId="888"/>
    <cellStyle name="60% - ส่วนที่ถูกเน้น2 2 2" xfId="889"/>
    <cellStyle name="60% - ส่วนที่ถูกเน้น2 2 3" xfId="1768"/>
    <cellStyle name="60% - ส่วนที่ถูกเน้น2 3" xfId="890"/>
    <cellStyle name="60% - ส่วนที่ถูกเน้น3" xfId="891"/>
    <cellStyle name="60% - ส่วนที่ถูกเน้น3 2" xfId="892"/>
    <cellStyle name="60% - ส่วนที่ถูกเน้น3 2 2" xfId="893"/>
    <cellStyle name="60% - ส่วนที่ถูกเน้น3 2 3" xfId="1863"/>
    <cellStyle name="60% - ส่วนที่ถูกเน้น3 3" xfId="894"/>
    <cellStyle name="60% - ส่วนที่ถูกเน้น4" xfId="895"/>
    <cellStyle name="60% - ส่วนที่ถูกเน้น4 2" xfId="896"/>
    <cellStyle name="60% - ส่วนที่ถูกเน้น4 2 2" xfId="897"/>
    <cellStyle name="60% - ส่วนที่ถูกเน้น4 2 3" xfId="1887"/>
    <cellStyle name="60% - ส่วนที่ถูกเน้น4 3" xfId="898"/>
    <cellStyle name="60% - ส่วนที่ถูกเน้น5" xfId="899"/>
    <cellStyle name="60% - ส่วนที่ถูกเน้น5 2" xfId="900"/>
    <cellStyle name="60% - ส่วนที่ถูกเน้น5 2 2" xfId="901"/>
    <cellStyle name="60% - ส่วนที่ถูกเน้น5 2 3" xfId="1889"/>
    <cellStyle name="60% - ส่วนที่ถูกเน้น5 3" xfId="902"/>
    <cellStyle name="60% - ส่วนที่ถูกเน้น6" xfId="903"/>
    <cellStyle name="60% - ส่วนที่ถูกเน้น6 2" xfId="904"/>
    <cellStyle name="60% - ส่วนที่ถูกเน้น6 2 2" xfId="905"/>
    <cellStyle name="60% - ส่วนที่ถูกเน้น6 2 3" xfId="1787"/>
    <cellStyle name="60% - ส่วนที่ถูกเน้น6 3" xfId="906"/>
    <cellStyle name="Comma0" xfId="907"/>
    <cellStyle name="Comma0 2" xfId="908"/>
    <cellStyle name="Comma0 2 2" xfId="909"/>
    <cellStyle name="Comma0 2 3" xfId="1890"/>
    <cellStyle name="Comma0 3" xfId="910"/>
    <cellStyle name="Currency0" xfId="911"/>
    <cellStyle name="Currency0 2" xfId="912"/>
    <cellStyle name="Currency0 2 2" xfId="913"/>
    <cellStyle name="Currency0 2 3" xfId="1891"/>
    <cellStyle name="Currency0 3" xfId="914"/>
    <cellStyle name="Date" xfId="915"/>
    <cellStyle name="Date 2" xfId="916"/>
    <cellStyle name="Date 2 2" xfId="917"/>
    <cellStyle name="Date 2 3" xfId="1893"/>
    <cellStyle name="Date 3" xfId="918"/>
    <cellStyle name="Euro" xfId="919"/>
    <cellStyle name="Euro 2" xfId="920"/>
    <cellStyle name="Euro 2 2" xfId="921"/>
    <cellStyle name="Euro 2 3" xfId="1895"/>
    <cellStyle name="Euro 3" xfId="922"/>
    <cellStyle name="Excel Built-in _091126_инвойс одежда balance" xfId="923"/>
    <cellStyle name="Excel Built-in 0,0 NA _расчет сборник нормальный со спецухой" xfId="924"/>
    <cellStyle name="Excel Built-in Обычный 2 7 2" xfId="925"/>
    <cellStyle name="Excel Built-in Обычный 2 7 2 2" xfId="926"/>
    <cellStyle name="Excel Built-in Обычный 2 7 2 2 2" xfId="927"/>
    <cellStyle name="Excel Built-in Обычный 2 7 2 2 3" xfId="1861"/>
    <cellStyle name="Excel Built-in Обычный 2 7 2 3" xfId="928"/>
    <cellStyle name="Excel Built-in Обычный_09 04 доки GESU 5014845" xfId="929"/>
    <cellStyle name="Fixed" xfId="930"/>
    <cellStyle name="Fixed 2" xfId="931"/>
    <cellStyle name="Fixed 2 2" xfId="932"/>
    <cellStyle name="Fixed 2 3" xfId="1896"/>
    <cellStyle name="Fixed 3" xfId="933"/>
    <cellStyle name="Header1" xfId="934"/>
    <cellStyle name="Header1 2" xfId="935"/>
    <cellStyle name="Header1 2 2" xfId="936"/>
    <cellStyle name="Header1 2 3" xfId="1898"/>
    <cellStyle name="Header1 3" xfId="937"/>
    <cellStyle name="Header2" xfId="938"/>
    <cellStyle name="Header2 2" xfId="939"/>
    <cellStyle name="Header2 2 2" xfId="940"/>
    <cellStyle name="Header2 2 2 2" xfId="941"/>
    <cellStyle name="Header2 2 2 3" xfId="1900"/>
    <cellStyle name="Header2 2 2 4 6" xfId="942"/>
    <cellStyle name="Header2 2 2 4 6 2" xfId="943"/>
    <cellStyle name="Header2 2 2 4 7" xfId="944"/>
    <cellStyle name="Header2 2 2 4 7 2" xfId="945"/>
    <cellStyle name="Header2 2 3" xfId="946"/>
    <cellStyle name="Header2 2 3 2" xfId="947"/>
    <cellStyle name="Header2 2 4" xfId="948"/>
    <cellStyle name="Header2 3" xfId="949"/>
    <cellStyle name="Header2 3 2" xfId="950"/>
    <cellStyle name="Header2 3 2 2" xfId="951"/>
    <cellStyle name="Header2 3 2 3" xfId="1789"/>
    <cellStyle name="Header2 3 3" xfId="952"/>
    <cellStyle name="Header2 3 3 2" xfId="953"/>
    <cellStyle name="Header2 3 4" xfId="954"/>
    <cellStyle name="Header2 4" xfId="955"/>
    <cellStyle name="Header2 4 2" xfId="956"/>
    <cellStyle name="Header2 4 3" xfId="1899"/>
    <cellStyle name="Header2 5" xfId="957"/>
    <cellStyle name="Header2 5 2" xfId="958"/>
    <cellStyle name="Header2 6" xfId="959"/>
    <cellStyle name="Heading 1" xfId="960"/>
    <cellStyle name="Heading 1 2" xfId="961"/>
    <cellStyle name="Heading 1 2 2" xfId="962"/>
    <cellStyle name="Heading 1 2 3" xfId="1774"/>
    <cellStyle name="Heading 1 3" xfId="963"/>
    <cellStyle name="Heading 2" xfId="964"/>
    <cellStyle name="Heading 2 2" xfId="965"/>
    <cellStyle name="Heading 2 2 2" xfId="966"/>
    <cellStyle name="Heading 2 2 3" xfId="1901"/>
    <cellStyle name="Heading 2 3" xfId="967"/>
    <cellStyle name="Normaali_stock" xfId="968"/>
    <cellStyle name="Normal 10 2" xfId="969"/>
    <cellStyle name="Normal 2" xfId="970"/>
    <cellStyle name="Normal 2 2" xfId="971"/>
    <cellStyle name="Normal 2 2 2" xfId="972"/>
    <cellStyle name="Normal 2 2 2 2" xfId="973"/>
    <cellStyle name="Normal 2 2 2 3" xfId="1885"/>
    <cellStyle name="Normal 2 2 3" xfId="974"/>
    <cellStyle name="Normal 2 2 4" xfId="1733"/>
    <cellStyle name="Normal 2 3" xfId="975"/>
    <cellStyle name="Normal 2 3 2" xfId="976"/>
    <cellStyle name="Normal 2 3 3" xfId="1850"/>
    <cellStyle name="Normal 2 4" xfId="977"/>
    <cellStyle name="Normal 2 9" xfId="978"/>
    <cellStyle name="Normal 2 9 2" xfId="979"/>
    <cellStyle name="Normale_STANY" xfId="980"/>
    <cellStyle name="№йєРАІ_±вЕё" xfId="981"/>
    <cellStyle name="SAPBEXstdData" xfId="982"/>
    <cellStyle name="SAPBEXstdData 2" xfId="983"/>
    <cellStyle name="SAPBEXstdData 2 2" xfId="984"/>
    <cellStyle name="SAPBEXstdData 2 3" xfId="1902"/>
    <cellStyle name="SAPBEXstdData 3" xfId="985"/>
    <cellStyle name="Standard_04-03-082-exam-new" xfId="986"/>
    <cellStyle name="Style 1" xfId="987"/>
    <cellStyle name="Style 1 2" xfId="988"/>
    <cellStyle name="Style 1 2 2" xfId="989"/>
    <cellStyle name="Style 1 2 3" xfId="1904"/>
    <cellStyle name="Style 1 3" xfId="990"/>
    <cellStyle name="style08" xfId="991"/>
    <cellStyle name="style08 2" xfId="992"/>
    <cellStyle name="style08 2 2" xfId="993"/>
    <cellStyle name="style08 2 2 2" xfId="994"/>
    <cellStyle name="style08 2 2 2 2" xfId="2103"/>
    <cellStyle name="style08 2 2 2 3" xfId="2077"/>
    <cellStyle name="style08 2 2 3" xfId="995"/>
    <cellStyle name="style08 2 2 4" xfId="1803"/>
    <cellStyle name="style08 2 3" xfId="996"/>
    <cellStyle name="style08 2 3 2" xfId="997"/>
    <cellStyle name="style08 2 3 2 2" xfId="2113"/>
    <cellStyle name="style08 2 3 2 3" xfId="2078"/>
    <cellStyle name="style08 2 3 3" xfId="998"/>
    <cellStyle name="style08 2 3 4" xfId="2104"/>
    <cellStyle name="style08 2 3 5" xfId="1958"/>
    <cellStyle name="style08 2 4" xfId="999"/>
    <cellStyle name="style08 2 4 2" xfId="2108"/>
    <cellStyle name="style08 2 4 3" xfId="2076"/>
    <cellStyle name="style08 2 5" xfId="1000"/>
    <cellStyle name="style08 2 6" xfId="1688"/>
    <cellStyle name="style08 3" xfId="1001"/>
    <cellStyle name="style08 3 2" xfId="1002"/>
    <cellStyle name="style08 3 2 2" xfId="2114"/>
    <cellStyle name="style08 3 2 3" xfId="2079"/>
    <cellStyle name="style08 3 3" xfId="1003"/>
    <cellStyle name="style08 3 4" xfId="1905"/>
    <cellStyle name="style08 4" xfId="1004"/>
    <cellStyle name="style08 4 2" xfId="1005"/>
    <cellStyle name="style08 4 2 2" xfId="2106"/>
    <cellStyle name="style08 4 2 3" xfId="2080"/>
    <cellStyle name="style08 4 3" xfId="1006"/>
    <cellStyle name="style08 4 4" xfId="2107"/>
    <cellStyle name="style08 4 5" xfId="2057"/>
    <cellStyle name="style08 5" xfId="1007"/>
    <cellStyle name="style08 5 2" xfId="2115"/>
    <cellStyle name="style08 5 3" xfId="2075"/>
    <cellStyle name="style08 6" xfId="1008"/>
    <cellStyle name="style08 7" xfId="1735"/>
    <cellStyle name="style11" xfId="1009"/>
    <cellStyle name="style11 2" xfId="1010"/>
    <cellStyle name="style11 2 2" xfId="1011"/>
    <cellStyle name="style11 2 2 2" xfId="1012"/>
    <cellStyle name="style11 2 2 2 2" xfId="2112"/>
    <cellStyle name="style11 2 2 2 3" xfId="2083"/>
    <cellStyle name="style11 2 2 3" xfId="1013"/>
    <cellStyle name="style11 2 2 4" xfId="1762"/>
    <cellStyle name="style11 2 3" xfId="1014"/>
    <cellStyle name="style11 2 3 2" xfId="1015"/>
    <cellStyle name="style11 2 3 2 2" xfId="2109"/>
    <cellStyle name="style11 2 3 2 3" xfId="2084"/>
    <cellStyle name="style11 2 3 3" xfId="1016"/>
    <cellStyle name="style11 2 3 4" xfId="2116"/>
    <cellStyle name="style11 2 3 5" xfId="2046"/>
    <cellStyle name="style11 2 4" xfId="1017"/>
    <cellStyle name="style11 2 4 2" xfId="2111"/>
    <cellStyle name="style11 2 4 3" xfId="2082"/>
    <cellStyle name="style11 2 5" xfId="1018"/>
    <cellStyle name="style11 2 6" xfId="1624"/>
    <cellStyle name="style11 3" xfId="1019"/>
    <cellStyle name="style11 3 2" xfId="1020"/>
    <cellStyle name="style11 3 2 2" xfId="2102"/>
    <cellStyle name="style11 3 2 3" xfId="2085"/>
    <cellStyle name="style11 3 3" xfId="1021"/>
    <cellStyle name="style11 3 4" xfId="1757"/>
    <cellStyle name="style11 4" xfId="1022"/>
    <cellStyle name="style11 4 2" xfId="1023"/>
    <cellStyle name="style11 4 2 2" xfId="2110"/>
    <cellStyle name="style11 4 2 3" xfId="2086"/>
    <cellStyle name="style11 4 3" xfId="1024"/>
    <cellStyle name="style11 4 4" xfId="2105"/>
    <cellStyle name="style11 4 5" xfId="1960"/>
    <cellStyle name="style11 5" xfId="1025"/>
    <cellStyle name="style11 5 2" xfId="2101"/>
    <cellStyle name="style11 5 3" xfId="2081"/>
    <cellStyle name="style11 6" xfId="1026"/>
    <cellStyle name="style11 7" xfId="1621"/>
    <cellStyle name="Total" xfId="1027"/>
    <cellStyle name="Total 2" xfId="1028"/>
    <cellStyle name="Total 2 2" xfId="1029"/>
    <cellStyle name="Total 2 3" xfId="1906"/>
    <cellStyle name="Total 3" xfId="1030"/>
    <cellStyle name="Гиперссылка 2" xfId="1031"/>
    <cellStyle name="Де?ежный [0]_23431675 (2)_28511014 свх" xfId="1032"/>
    <cellStyle name="Деҽежный [0]_23431675 (2)_28511014 свх" xfId="1033"/>
    <cellStyle name="Денежный 2" xfId="1034"/>
    <cellStyle name="Денежный 2 2" xfId="1035"/>
    <cellStyle name="Денежный 2 2 2" xfId="1036"/>
    <cellStyle name="Денежный 2 2 2 2" xfId="1037"/>
    <cellStyle name="Денежный 2 2 2 3" xfId="1909"/>
    <cellStyle name="Денежный 2 2 3" xfId="1038"/>
    <cellStyle name="Денежный 2 3" xfId="1039"/>
    <cellStyle name="Денежный 2 3 2" xfId="1040"/>
    <cellStyle name="Денежный 2 3 3" xfId="1907"/>
    <cellStyle name="Денежный 2 4" xfId="1041"/>
    <cellStyle name="Денежный 2 5" xfId="1583"/>
    <cellStyle name="Денежный 3" xfId="1042"/>
    <cellStyle name="Денежный 4" xfId="1043"/>
    <cellStyle name="Денежный 4 2" xfId="1044"/>
    <cellStyle name="Денежный 4 2 2" xfId="1045"/>
    <cellStyle name="Денежный 4 2 3" xfId="1910"/>
    <cellStyle name="Денежный 4 3" xfId="1046"/>
    <cellStyle name="ДЮё¶ [0]_±вЕё" xfId="1047"/>
    <cellStyle name="ДЮё¶_±вЕё" xfId="1048"/>
    <cellStyle name="ЕлИ­ [0]_±вЕё" xfId="1049"/>
    <cellStyle name="ЕлИ­_±вЕё" xfId="1050"/>
    <cellStyle name="ЗҐБШ_°иИ№" xfId="1051"/>
    <cellStyle name="Обычный" xfId="0" builtinId="0"/>
    <cellStyle name="Обычный 10" xfId="1052"/>
    <cellStyle name="Обычный 10 2" xfId="1053"/>
    <cellStyle name="Обычный 10 2 2" xfId="1054"/>
    <cellStyle name="Обычный 10 2 2 2" xfId="1055"/>
    <cellStyle name="Обычный 10 2 2 3" xfId="1797"/>
    <cellStyle name="Обычный 10 2 3" xfId="1056"/>
    <cellStyle name="Обычный 10 3" xfId="1057"/>
    <cellStyle name="Обычный 10 3 2" xfId="1058"/>
    <cellStyle name="Обычный 10 3 3" xfId="1832"/>
    <cellStyle name="Обычный 10 4" xfId="1059"/>
    <cellStyle name="Обычный 11" xfId="1060"/>
    <cellStyle name="Обычный 11 2" xfId="1061"/>
    <cellStyle name="Обычный 11 2 2" xfId="1062"/>
    <cellStyle name="Обычный 11 2 3" xfId="1911"/>
    <cellStyle name="Обычный 11 3" xfId="1063"/>
    <cellStyle name="Обычный 12" xfId="1064"/>
    <cellStyle name="Обычный 12 2" xfId="1065"/>
    <cellStyle name="Обычный 12 3" xfId="1578"/>
    <cellStyle name="Обычный 13" xfId="1066"/>
    <cellStyle name="Обычный 13 3 7" xfId="2088"/>
    <cellStyle name="Обычный 14" xfId="6"/>
    <cellStyle name="Обычный 15" xfId="2087"/>
    <cellStyle name="Обычный 2" xfId="5"/>
    <cellStyle name="Обычный 2 2" xfId="1068"/>
    <cellStyle name="Обычный 2 2 2" xfId="1069"/>
    <cellStyle name="Обычный 2 2 3" xfId="1070"/>
    <cellStyle name="Обычный 2 2 3 2" xfId="1071"/>
    <cellStyle name="Обычный 2 2 3 2 2" xfId="1072"/>
    <cellStyle name="Обычный 2 2 3 2 3" xfId="1912"/>
    <cellStyle name="Обычный 2 2 3 3" xfId="1073"/>
    <cellStyle name="Обычный 2 2 4" xfId="1074"/>
    <cellStyle name="Обычный 2 2 5" xfId="1585"/>
    <cellStyle name="Обычный 2 3" xfId="1075"/>
    <cellStyle name="Обычный 2 3 2" xfId="1076"/>
    <cellStyle name="Обычный 2 3 2 2" xfId="1077"/>
    <cellStyle name="Обычный 2 3 2 3" xfId="1914"/>
    <cellStyle name="Обычный 2 3 3" xfId="1078"/>
    <cellStyle name="Обычный 2 4" xfId="1079"/>
    <cellStyle name="Обычный 2 5" xfId="1080"/>
    <cellStyle name="Обычный 2 6" xfId="1067"/>
    <cellStyle name="Обычный 2 7" xfId="1584"/>
    <cellStyle name="Обычный 2 7 2" xfId="1081"/>
    <cellStyle name="Обычный 2 7 2 2" xfId="1082"/>
    <cellStyle name="Обычный 2 7 2 2 2" xfId="1083"/>
    <cellStyle name="Обычный 2 7 2 2 3" xfId="1763"/>
    <cellStyle name="Обычный 2 7 2 3" xfId="1084"/>
    <cellStyle name="Обычный 2_ИНВ_ПАК_СПЕЦ_MARINECHOICE" xfId="1085"/>
    <cellStyle name="Обычный 27" xfId="1086"/>
    <cellStyle name="Обычный 27 2" xfId="1087"/>
    <cellStyle name="Обычный 27 2 2" xfId="1088"/>
    <cellStyle name="Обычный 27 2 3" xfId="1809"/>
    <cellStyle name="Обычный 27 3" xfId="1089"/>
    <cellStyle name="Обычный 3" xfId="4"/>
    <cellStyle name="Обычный 3 10" xfId="1091"/>
    <cellStyle name="Обычный 3 10 2" xfId="1092"/>
    <cellStyle name="Обычный 3 10 2 2" xfId="1093"/>
    <cellStyle name="Обычный 3 10 2 3" xfId="1606"/>
    <cellStyle name="Обычный 3 10 3" xfId="1094"/>
    <cellStyle name="Обычный 3 10 4" xfId="1576"/>
    <cellStyle name="Обычный 3 2" xfId="1095"/>
    <cellStyle name="Обычный 3 2 2" xfId="1096"/>
    <cellStyle name="Обычный 3 2 3" xfId="1097"/>
    <cellStyle name="Обычный 3 2 4" xfId="1587"/>
    <cellStyle name="Обычный 3 3" xfId="1098"/>
    <cellStyle name="Обычный 3 3 2" xfId="1099"/>
    <cellStyle name="Обычный 3 3 3" xfId="1607"/>
    <cellStyle name="Обычный 3 4" xfId="1100"/>
    <cellStyle name="Обычный 3 4 2" xfId="1101"/>
    <cellStyle name="Обычный 3 4 2 2" xfId="1102"/>
    <cellStyle name="Обычный 3 4 2 3" xfId="1916"/>
    <cellStyle name="Обычный 3 4 3" xfId="1103"/>
    <cellStyle name="Обычный 3 5" xfId="1104"/>
    <cellStyle name="Обычный 3 6" xfId="1090"/>
    <cellStyle name="Обычный 3 7" xfId="1586"/>
    <cellStyle name="Обычный 3 9" xfId="1105"/>
    <cellStyle name="Обычный 3 9 2" xfId="1106"/>
    <cellStyle name="Обычный 3 9 3" xfId="1588"/>
    <cellStyle name="Обычный 36 3" xfId="1107"/>
    <cellStyle name="Обычный 36 3 2" xfId="1108"/>
    <cellStyle name="Обычный 36 3 3" xfId="1589"/>
    <cellStyle name="Обычный 37 3" xfId="1109"/>
    <cellStyle name="Обычный 37 3 2" xfId="1110"/>
    <cellStyle name="Обычный 37 3 3" xfId="1590"/>
    <cellStyle name="Обычный 38 3" xfId="1111"/>
    <cellStyle name="Обычный 38 3 2" xfId="1112"/>
    <cellStyle name="Обычный 38 3 3" xfId="1591"/>
    <cellStyle name="Обычный 4" xfId="1113"/>
    <cellStyle name="Обычный 4 2" xfId="1114"/>
    <cellStyle name="Обычный 4 2 2" xfId="1115"/>
    <cellStyle name="Обычный 4 2 2 2" xfId="1116"/>
    <cellStyle name="Обычный 4 2 2 2 2" xfId="1117"/>
    <cellStyle name="Обычный 4 2 2 2 3" xfId="1799"/>
    <cellStyle name="Обычный 4 2 2 3" xfId="1118"/>
    <cellStyle name="Обычный 4 2 3" xfId="1119"/>
    <cellStyle name="Обычный 4 2 4" xfId="1604"/>
    <cellStyle name="Обычный 4 3" xfId="1120"/>
    <cellStyle name="Обычный 4 4" xfId="1121"/>
    <cellStyle name="Обычный 4 5" xfId="1592"/>
    <cellStyle name="Обычный 41 2" xfId="1122"/>
    <cellStyle name="Обычный 41 2 2" xfId="1123"/>
    <cellStyle name="Обычный 41 2 3" xfId="1593"/>
    <cellStyle name="Обычный 43" xfId="1124"/>
    <cellStyle name="Обычный 43 2" xfId="1125"/>
    <cellStyle name="Обычный 43 3" xfId="1594"/>
    <cellStyle name="Обычный 5" xfId="1126"/>
    <cellStyle name="Обычный 5 2" xfId="1127"/>
    <cellStyle name="Обычный 5 2 2" xfId="1128"/>
    <cellStyle name="Обычный 5 2 3" xfId="1129"/>
    <cellStyle name="Обычный 5 2 4" xfId="1596"/>
    <cellStyle name="Обычный 5 3" xfId="1130"/>
    <cellStyle name="Обычный 5 4" xfId="1131"/>
    <cellStyle name="Обычный 5 5" xfId="1595"/>
    <cellStyle name="Обычный 6" xfId="1132"/>
    <cellStyle name="Обычный 6 2" xfId="1133"/>
    <cellStyle name="Обычный 6 2 2" xfId="1134"/>
    <cellStyle name="Обычный 6 2 3" xfId="1577"/>
    <cellStyle name="Обычный 6 3" xfId="1135"/>
    <cellStyle name="Обычный 6 3 2" xfId="1136"/>
    <cellStyle name="Обычный 6 3 2 2" xfId="1137"/>
    <cellStyle name="Обычный 6 3 2 3" xfId="1919"/>
    <cellStyle name="Обычный 6 3 3" xfId="1138"/>
    <cellStyle name="Обычный 6 4" xfId="1139"/>
    <cellStyle name="Обычный 6 4 2" xfId="1140"/>
    <cellStyle name="Обычный 6 4 2 2" xfId="1141"/>
    <cellStyle name="Обычный 6 4 2 3" xfId="1743"/>
    <cellStyle name="Обычный 6 4 3" xfId="1142"/>
    <cellStyle name="Обычный 6 5" xfId="1143"/>
    <cellStyle name="Обычный 6 6" xfId="1597"/>
    <cellStyle name="Обычный 7" xfId="1144"/>
    <cellStyle name="Обычный 7 2" xfId="1145"/>
    <cellStyle name="Обычный 7 2 2" xfId="1146"/>
    <cellStyle name="Обычный 7 2 2 2" xfId="1147"/>
    <cellStyle name="Обычный 7 2 2 3" xfId="1851"/>
    <cellStyle name="Обычный 7 2 3" xfId="1148"/>
    <cellStyle name="Обычный 7 3" xfId="1149"/>
    <cellStyle name="Обычный 7 3 2" xfId="1150"/>
    <cellStyle name="Обычный 7 3 2 2" xfId="1151"/>
    <cellStyle name="Обычный 7 3 2 3" xfId="1920"/>
    <cellStyle name="Обычный 7 3 3" xfId="1152"/>
    <cellStyle name="Обычный 7 4" xfId="1153"/>
    <cellStyle name="Обычный 7 5" xfId="1598"/>
    <cellStyle name="Обычный 8" xfId="1154"/>
    <cellStyle name="Обычный 8 2" xfId="1155"/>
    <cellStyle name="Обычный 8 2 2" xfId="1156"/>
    <cellStyle name="Обычный 8 2 2 2" xfId="1157"/>
    <cellStyle name="Обычный 8 2 2 3" xfId="1760"/>
    <cellStyle name="Обычный 8 2 3" xfId="1158"/>
    <cellStyle name="Обычный 8 3" xfId="1159"/>
    <cellStyle name="Обычный 8 3 2" xfId="1160"/>
    <cellStyle name="Обычный 8 3 3" xfId="1741"/>
    <cellStyle name="Обычный 8 4" xfId="1161"/>
    <cellStyle name="Обычный 9" xfId="1162"/>
    <cellStyle name="Обычный 9 2" xfId="1163"/>
    <cellStyle name="Обычный 9 2 2" xfId="1164"/>
    <cellStyle name="Обычный 9 2 2 2" xfId="1165"/>
    <cellStyle name="Обычный 9 2 2 3" xfId="1921"/>
    <cellStyle name="Обычный 9 2 3" xfId="1166"/>
    <cellStyle name="Обычный 9 3" xfId="1167"/>
    <cellStyle name="Обычный 9 3 2" xfId="1168"/>
    <cellStyle name="Обычный 9 3 3" xfId="1807"/>
    <cellStyle name="Обычный 9 4" xfId="1169"/>
    <cellStyle name="Стиль 1" xfId="1170"/>
    <cellStyle name="Стиль 1 2" xfId="1171"/>
    <cellStyle name="Стиль 1 2 2" xfId="1172"/>
    <cellStyle name="Стиль 1 2 2 2" xfId="1173"/>
    <cellStyle name="Стиль 1 2 2 2 2" xfId="1174"/>
    <cellStyle name="Стиль 1 2 2 2 3" xfId="1860"/>
    <cellStyle name="Стиль 1 2 2 3" xfId="1175"/>
    <cellStyle name="Стиль 1 2 3" xfId="1176"/>
    <cellStyle name="Стиль 1 2 3 2" xfId="1177"/>
    <cellStyle name="Стиль 1 2 3 2 2" xfId="1178"/>
    <cellStyle name="Стиль 1 2 3 2 3" xfId="2020"/>
    <cellStyle name="Стиль 1 2 3 3" xfId="1179"/>
    <cellStyle name="Стиль 1 2 3 4" xfId="1737"/>
    <cellStyle name="Стиль 1 2 4" xfId="1180"/>
    <cellStyle name="Стиль 1 2 4 2" xfId="1181"/>
    <cellStyle name="Стиль 1 2 4 2 2" xfId="1182"/>
    <cellStyle name="Стиль 1 2 4 2 3" xfId="1873"/>
    <cellStyle name="Стиль 1 2 4 3" xfId="1183"/>
    <cellStyle name="Стиль 1 2 5" xfId="1184"/>
    <cellStyle name="Стиль 1 2 6" xfId="1600"/>
    <cellStyle name="Стиль 1 3" xfId="1185"/>
    <cellStyle name="Стиль 1 3 2" xfId="1186"/>
    <cellStyle name="Стиль 1 3 2 2" xfId="1187"/>
    <cellStyle name="Стиль 1 3 2 3" xfId="1956"/>
    <cellStyle name="Стиль 1 3 3" xfId="1188"/>
    <cellStyle name="Стиль 1 3 4" xfId="1736"/>
    <cellStyle name="Стиль 1 4" xfId="1189"/>
    <cellStyle name="Стиль 1 4 2" xfId="1190"/>
    <cellStyle name="Стиль 1 4 3" xfId="1599"/>
    <cellStyle name="Стиль 1 5" xfId="1191"/>
    <cellStyle name="Стиль 1 5 2" xfId="1192"/>
    <cellStyle name="Стиль 1 5 3" xfId="1922"/>
    <cellStyle name="Стиль 1 6" xfId="1193"/>
    <cellStyle name="Стиль 1 7" xfId="1562"/>
    <cellStyle name="Стиль 1_ИНВ_ПАК_СПЕЦ_MARINECHOICE" xfId="1194"/>
    <cellStyle name="Финансовый" xfId="2117" builtinId="3"/>
    <cellStyle name="Финансовый 2" xfId="1195"/>
    <cellStyle name="Финансовый 2 2" xfId="1196"/>
    <cellStyle name="Финансовый 2 2 2" xfId="1197"/>
    <cellStyle name="Финансовый 2 2 3" xfId="1605"/>
    <cellStyle name="Финансовый 2 3" xfId="1198"/>
    <cellStyle name="Финансовый 2 4" xfId="1199"/>
    <cellStyle name="Финансовый 2 5" xfId="1601"/>
    <cellStyle name="Финансовый 3" xfId="1560"/>
    <cellStyle name="เซลล์ตรวจสอบ" xfId="1200"/>
    <cellStyle name="เซลล์ตรวจสอบ 2" xfId="1201"/>
    <cellStyle name="เซลล์ตรวจสอบ 2 2" xfId="1202"/>
    <cellStyle name="เซลล์ตรวจสอบ 2 3" xfId="1923"/>
    <cellStyle name="เซลล์ตรวจสอบ 3" xfId="1203"/>
    <cellStyle name="เซลล์ที่มีการเชื่อมโยง" xfId="1204"/>
    <cellStyle name="เซลล์ที่มีการเชื่อมโยง 2" xfId="1205"/>
    <cellStyle name="เซลล์ที่มีการเชื่อมโยง 2 2" xfId="1206"/>
    <cellStyle name="เซลล์ที่มีการเชื่อมโยง 2 3" xfId="1924"/>
    <cellStyle name="เซลล์ที่มีการเชื่อมโยง 3" xfId="1207"/>
    <cellStyle name="แย่" xfId="1208"/>
    <cellStyle name="แย่ 2" xfId="1209"/>
    <cellStyle name="แย่ 2 2" xfId="1210"/>
    <cellStyle name="แย่ 2 3" xfId="1828"/>
    <cellStyle name="แย่ 3" xfId="1211"/>
    <cellStyle name="แสดงผล" xfId="1212"/>
    <cellStyle name="แสดงผล 2" xfId="1213"/>
    <cellStyle name="แสดงผล 2 2" xfId="1214"/>
    <cellStyle name="แสดงผล 2 2 2" xfId="1215"/>
    <cellStyle name="แสดงผล 2 2 3" xfId="1926"/>
    <cellStyle name="แสดงผล 2 3" xfId="1216"/>
    <cellStyle name="แสดงผล 3" xfId="1217"/>
    <cellStyle name="แสดงผล 3 2" xfId="1218"/>
    <cellStyle name="แสดงผล 3 3" xfId="1853"/>
    <cellStyle name="แสดงผล 4" xfId="1219"/>
    <cellStyle name="การคำนวณ" xfId="1220"/>
    <cellStyle name="การคำนวณ 2" xfId="1221"/>
    <cellStyle name="การคำนวณ 2 2" xfId="1222"/>
    <cellStyle name="การคำนวณ 2 2 2" xfId="1223"/>
    <cellStyle name="การคำนวณ 2 2 3" xfId="1816"/>
    <cellStyle name="การคำนวณ 2 3" xfId="1224"/>
    <cellStyle name="การคำนวณ 3" xfId="1225"/>
    <cellStyle name="การคำนวณ 3 2" xfId="1226"/>
    <cellStyle name="การคำนวณ 3 3" xfId="1927"/>
    <cellStyle name="การคำนวณ 4" xfId="1227"/>
    <cellStyle name="ข้อความเตือน" xfId="1228"/>
    <cellStyle name="ข้อความเตือน 2" xfId="1229"/>
    <cellStyle name="ข้อความเตือน 2 2" xfId="1230"/>
    <cellStyle name="ข้อความเตือน 2 3" xfId="1915"/>
    <cellStyle name="ข้อความเตือน 3" xfId="1231"/>
    <cellStyle name="ข้อความอธิบาย" xfId="1232"/>
    <cellStyle name="ข้อความอธิบาย 2" xfId="1233"/>
    <cellStyle name="ข้อความอธิบาย 2 2" xfId="1234"/>
    <cellStyle name="ข้อความอธิบาย 2 3" xfId="1759"/>
    <cellStyle name="ข้อความอธิบาย 3" xfId="1235"/>
    <cellStyle name="ชื่อเรื่อง" xfId="1236"/>
    <cellStyle name="ชื่อเรื่อง 2" xfId="1237"/>
    <cellStyle name="ชื่อเรื่อง 2 2" xfId="1238"/>
    <cellStyle name="ชื่อเรื่อง 2 3" xfId="1871"/>
    <cellStyle name="ชื่อเรื่อง 3" xfId="1239"/>
    <cellStyle name="ดี" xfId="1240"/>
    <cellStyle name="ดี 2" xfId="1241"/>
    <cellStyle name="ดี 2 2" xfId="1242"/>
    <cellStyle name="ดี 2 3" xfId="1928"/>
    <cellStyle name="ดี 3" xfId="1243"/>
    <cellStyle name="ป้อนค่า" xfId="1244"/>
    <cellStyle name="ป้อนค่า 2" xfId="1245"/>
    <cellStyle name="ป้อนค่า 2 2" xfId="1246"/>
    <cellStyle name="ป้อนค่า 2 2 2" xfId="1247"/>
    <cellStyle name="ป้อนค่า 2 2 3" xfId="1930"/>
    <cellStyle name="ป้อนค่า 2 3" xfId="1248"/>
    <cellStyle name="ป้อนค่า 3" xfId="1249"/>
    <cellStyle name="ป้อนค่า 3 2" xfId="1250"/>
    <cellStyle name="ป้อนค่า 3 3" xfId="1929"/>
    <cellStyle name="ป้อนค่า 4" xfId="1251"/>
    <cellStyle name="ปานกลาง" xfId="1252"/>
    <cellStyle name="ปานกลาง 2" xfId="1253"/>
    <cellStyle name="ปานกลาง 2 2" xfId="1254"/>
    <cellStyle name="ปานกลาง 2 3" xfId="1770"/>
    <cellStyle name="ปานกลาง 3" xfId="1255"/>
    <cellStyle name="ผลรวม" xfId="1256"/>
    <cellStyle name="ผลรวม 2" xfId="1257"/>
    <cellStyle name="ผลรวม 2 2" xfId="1258"/>
    <cellStyle name="ผลรวม 2 2 2" xfId="1259"/>
    <cellStyle name="ผลรวม 2 2 3" xfId="1931"/>
    <cellStyle name="ผลรวม 2 3" xfId="1260"/>
    <cellStyle name="ผลรวม 3" xfId="1261"/>
    <cellStyle name="ผลรวม 3 2" xfId="1262"/>
    <cellStyle name="ผลรวม 3 3" xfId="1903"/>
    <cellStyle name="ผลรวม 4" xfId="1263"/>
    <cellStyle name="ส่วนที่ถูกเน้น1" xfId="1264"/>
    <cellStyle name="ส่วนที่ถูกเน้น1 2" xfId="1265"/>
    <cellStyle name="ส่วนที่ถูกเน้น1 2 2" xfId="1266"/>
    <cellStyle name="ส่วนที่ถูกเน้น1 2 3" xfId="1894"/>
    <cellStyle name="ส่วนที่ถูกเน้น1 3" xfId="1267"/>
    <cellStyle name="ส่วนที่ถูกเน้น2" xfId="1268"/>
    <cellStyle name="ส่วนที่ถูกเน้น2 2" xfId="1269"/>
    <cellStyle name="ส่วนที่ถูกเน้น2 2 2" xfId="1270"/>
    <cellStyle name="ส่วนที่ถูกเน้น2 2 3" xfId="1932"/>
    <cellStyle name="ส่วนที่ถูกเน้น2 3" xfId="1271"/>
    <cellStyle name="ส่วนที่ถูกเน้น3" xfId="1272"/>
    <cellStyle name="ส่วนที่ถูกเน้น3 2" xfId="1273"/>
    <cellStyle name="ส่วนที่ถูกเน้น3 2 2" xfId="1274"/>
    <cellStyle name="ส่วนที่ถูกเน้น3 2 3" xfId="1933"/>
    <cellStyle name="ส่วนที่ถูกเน้น3 3" xfId="1275"/>
    <cellStyle name="ส่วนที่ถูกเน้น4" xfId="1276"/>
    <cellStyle name="ส่วนที่ถูกเน้น4 2" xfId="1277"/>
    <cellStyle name="ส่วนที่ถูกเน้น4 2 2" xfId="1278"/>
    <cellStyle name="ส่วนที่ถูกเน้น4 2 3" xfId="1934"/>
    <cellStyle name="ส่วนที่ถูกเน้น4 3" xfId="1279"/>
    <cellStyle name="ส่วนที่ถูกเน้น5" xfId="1280"/>
    <cellStyle name="ส่วนที่ถูกเน้น5 2" xfId="1281"/>
    <cellStyle name="ส่วนที่ถูกเน้น5 2 2" xfId="1282"/>
    <cellStyle name="ส่วนที่ถูกเน้น5 2 3" xfId="1811"/>
    <cellStyle name="ส่วนที่ถูกเน้น5 3" xfId="1283"/>
    <cellStyle name="ส่วนที่ถูกเน้น6" xfId="1284"/>
    <cellStyle name="ส่วนที่ถูกเน้น6 2" xfId="1285"/>
    <cellStyle name="ส่วนที่ถูกเน้น6 2 2" xfId="1286"/>
    <cellStyle name="ส่วนที่ถูกเน้น6 2 3" xfId="1747"/>
    <cellStyle name="ส่วนที่ถูกเน้น6 3" xfId="1287"/>
    <cellStyle name="หมายเหตุ" xfId="1288"/>
    <cellStyle name="หมายเหตุ 2" xfId="1289"/>
    <cellStyle name="หมายเหตุ 2 2" xfId="1290"/>
    <cellStyle name="หมายเหตุ 2 2 2" xfId="1291"/>
    <cellStyle name="หมายเหตุ 2 2 3" xfId="1936"/>
    <cellStyle name="หมายเหตุ 2 3" xfId="1292"/>
    <cellStyle name="หมายเหตุ 3" xfId="1293"/>
    <cellStyle name="หมายเหตุ 3 2" xfId="1294"/>
    <cellStyle name="หมายเหตุ 3 3" xfId="1935"/>
    <cellStyle name="หมายเหตุ 4" xfId="1295"/>
    <cellStyle name="หัวเรื่อง 1" xfId="1296"/>
    <cellStyle name="หัวเรื่อง 1 2" xfId="1297"/>
    <cellStyle name="หัวเรื่อง 1 2 2" xfId="1298"/>
    <cellStyle name="หัวเรื่อง 1 2 3" xfId="1795"/>
    <cellStyle name="หัวเรื่อง 1 3" xfId="1299"/>
    <cellStyle name="หัวเรื่อง 2" xfId="1300"/>
    <cellStyle name="หัวเรื่อง 2 2" xfId="1301"/>
    <cellStyle name="หัวเรื่อง 2 2 2" xfId="1302"/>
    <cellStyle name="หัวเรื่อง 2 2 3" xfId="1917"/>
    <cellStyle name="หัวเรื่อง 2 3" xfId="1303"/>
    <cellStyle name="หัวเรื่อง 3" xfId="1304"/>
    <cellStyle name="หัวเรื่อง 3 2" xfId="1305"/>
    <cellStyle name="หัวเรื่อง 3 2 2" xfId="1306"/>
    <cellStyle name="หัวเรื่อง 3 2 2 2" xfId="1307"/>
    <cellStyle name="หัวเรื่อง 3 2 2 3" xfId="2074"/>
    <cellStyle name="หัวเรื่อง 3 2 3" xfId="1308"/>
    <cellStyle name="หัวเรื่อง 3 2 4" xfId="1937"/>
    <cellStyle name="หัวเรื่อง 3 3" xfId="1309"/>
    <cellStyle name="หัวเรื่อง 3 3 2" xfId="1310"/>
    <cellStyle name="หัวเรื่อง 3 3 3" xfId="2055"/>
    <cellStyle name="หัวเรื่อง 3 4" xfId="1311"/>
    <cellStyle name="หัวเรื่อง 3 4 2" xfId="1312"/>
    <cellStyle name="หัวเรื่อง 3 5" xfId="1313"/>
    <cellStyle name="หัวเรื่อง 4" xfId="1314"/>
    <cellStyle name="หัวเรื่อง 4 2" xfId="1315"/>
    <cellStyle name="หัวเรื่อง 4 2 2" xfId="1316"/>
    <cellStyle name="หัวเรื่อง 4 2 3" xfId="1818"/>
    <cellStyle name="หัวเรื่อง 4 3" xfId="1317"/>
    <cellStyle name="콤마 [0]_sokol06" xfId="1318"/>
    <cellStyle name="표준_PackingList(by PartNo)" xfId="1319"/>
    <cellStyle name="一般 2" xfId="1320"/>
    <cellStyle name="一般 2 2" xfId="1321"/>
    <cellStyle name="一般 2 3" xfId="1563"/>
    <cellStyle name="一般 3" xfId="1322"/>
    <cellStyle name="一般 3 2" xfId="1323"/>
    <cellStyle name="一般 3 3" xfId="1564"/>
    <cellStyle name="一般_Accounts and Statistics" xfId="1324"/>
    <cellStyle name="常规 11" xfId="1325"/>
    <cellStyle name="常规 11 10" xfId="1326"/>
    <cellStyle name="常规 11 10 2" xfId="1327"/>
    <cellStyle name="常规 11 10 2 2" xfId="1328"/>
    <cellStyle name="常规 11 10 2 3" xfId="1761"/>
    <cellStyle name="常规 11 10 3" xfId="1329"/>
    <cellStyle name="常规 11 2" xfId="1330"/>
    <cellStyle name="常规 11 2 2" xfId="1331"/>
    <cellStyle name="常规 11 2 2 2" xfId="1332"/>
    <cellStyle name="常规 11 2 3" xfId="1333"/>
    <cellStyle name="常规 11 3" xfId="1334"/>
    <cellStyle name="常规 11 3 2" xfId="1335"/>
    <cellStyle name="常规 11 3 2 2" xfId="1336"/>
    <cellStyle name="常规 11 3 3" xfId="1337"/>
    <cellStyle name="常规 11 4" xfId="1338"/>
    <cellStyle name="常规 11 4 2" xfId="1339"/>
    <cellStyle name="常规 11 4 2 2" xfId="1340"/>
    <cellStyle name="常规 11 4 2 2 2" xfId="1341"/>
    <cellStyle name="常规 11 4 2 2 3" xfId="1940"/>
    <cellStyle name="常规 11 4 2 3" xfId="1342"/>
    <cellStyle name="常规 11 4 3" xfId="1343"/>
    <cellStyle name="常规 11 4 3 2" xfId="1344"/>
    <cellStyle name="常规 11 4 3 2 2" xfId="1345"/>
    <cellStyle name="常规 11 4 3 3" xfId="1346"/>
    <cellStyle name="常规 11 4 4" xfId="1347"/>
    <cellStyle name="常规 11 4 4 2" xfId="1348"/>
    <cellStyle name="常规 11 4 4 2 2" xfId="1349"/>
    <cellStyle name="常规 11 4 4 3" xfId="1350"/>
    <cellStyle name="常规 11 4 5" xfId="1351"/>
    <cellStyle name="常规 11 4 5 2" xfId="1352"/>
    <cellStyle name="常规 11 4 5 3" xfId="1939"/>
    <cellStyle name="常规 11 4 6" xfId="1353"/>
    <cellStyle name="常规 11 4 6 2" xfId="1354"/>
    <cellStyle name="常规 11 4 7" xfId="1355"/>
    <cellStyle name="常规 11 5" xfId="1356"/>
    <cellStyle name="常规 11 5 2" xfId="1357"/>
    <cellStyle name="常规 11 5 3" xfId="1938"/>
    <cellStyle name="常规 11 6" xfId="1358"/>
    <cellStyle name="常规 11 6 2" xfId="1359"/>
    <cellStyle name="常规 11 7" xfId="1360"/>
    <cellStyle name="常规 12 2" xfId="1361"/>
    <cellStyle name="常规 12 2 2" xfId="1362"/>
    <cellStyle name="常规 12 2 3" xfId="1574"/>
    <cellStyle name="常规 13" xfId="1363"/>
    <cellStyle name="常规 13 2" xfId="2"/>
    <cellStyle name="常规 13 2 2" xfId="1364"/>
    <cellStyle name="常规 13 2 3" xfId="2090"/>
    <cellStyle name="常规 13 2 4" xfId="2092"/>
    <cellStyle name="常规 13 2 5" xfId="2094"/>
    <cellStyle name="常规 13 2 6" xfId="2096"/>
    <cellStyle name="常规 13 2 7" xfId="2098"/>
    <cellStyle name="常规 13 2 8" xfId="2100"/>
    <cellStyle name="常规 13 3" xfId="1365"/>
    <cellStyle name="常规 14" xfId="1366"/>
    <cellStyle name="常规 14 2" xfId="1367"/>
    <cellStyle name="常规 14 2 2" xfId="1368"/>
    <cellStyle name="常规 14 2 2 2" xfId="1369"/>
    <cellStyle name="常规 14 2 3" xfId="1370"/>
    <cellStyle name="常规 14 3" xfId="1371"/>
    <cellStyle name="常规 14 3 2" xfId="1372"/>
    <cellStyle name="常规 14 3 2 2" xfId="1373"/>
    <cellStyle name="常规 14 3 3" xfId="1374"/>
    <cellStyle name="常规 14 4" xfId="1375"/>
    <cellStyle name="常规 14 4 2" xfId="1376"/>
    <cellStyle name="常规 14 4 2 2" xfId="1377"/>
    <cellStyle name="常规 14 4 2 3" xfId="1941"/>
    <cellStyle name="常规 14 4 3" xfId="1378"/>
    <cellStyle name="常规 14 5" xfId="1379"/>
    <cellStyle name="常规 14 5 2" xfId="1380"/>
    <cellStyle name="常规 14 5 3" xfId="1913"/>
    <cellStyle name="常规 14 6" xfId="1381"/>
    <cellStyle name="常规 14 6 2" xfId="1382"/>
    <cellStyle name="常规 14 7" xfId="1383"/>
    <cellStyle name="常规 15 4" xfId="1384"/>
    <cellStyle name="常规 15 4 2" xfId="1385"/>
    <cellStyle name="常规 15 4 2 2" xfId="1386"/>
    <cellStyle name="常规 15 4 2 3" xfId="1942"/>
    <cellStyle name="常规 15 4 3" xfId="1387"/>
    <cellStyle name="常规 19 4" xfId="1388"/>
    <cellStyle name="常规 19 4 2" xfId="1389"/>
    <cellStyle name="常规 19 4 2 2" xfId="1390"/>
    <cellStyle name="常规 19 4 2 3" xfId="1844"/>
    <cellStyle name="常规 19 4 3" xfId="1391"/>
    <cellStyle name="常规 2" xfId="1392"/>
    <cellStyle name="常规 2 15" xfId="1393"/>
    <cellStyle name="常规 2 15 2" xfId="1394"/>
    <cellStyle name="常规 2 15 2 2" xfId="1395"/>
    <cellStyle name="常规 2 15 2 3" xfId="1897"/>
    <cellStyle name="常规 2 15 3" xfId="1396"/>
    <cellStyle name="常规 2 2" xfId="1397"/>
    <cellStyle name="常规 2 2 2" xfId="1398"/>
    <cellStyle name="常规 2 2 2 2" xfId="1399"/>
    <cellStyle name="常规 2 2 2 3" xfId="1566"/>
    <cellStyle name="常规 2 2 3" xfId="1400"/>
    <cellStyle name="常规 2 2 3 2" xfId="1401"/>
    <cellStyle name="常规 2 2 3 2 2" xfId="1402"/>
    <cellStyle name="常规 2 2 3 2 3" xfId="1800"/>
    <cellStyle name="常规 2 2 3 3" xfId="1403"/>
    <cellStyle name="常规 2 2 4" xfId="1404"/>
    <cellStyle name="常规 2 2 5" xfId="1565"/>
    <cellStyle name="常规 2 2 8" xfId="1405"/>
    <cellStyle name="常规 2 2 8 2" xfId="1406"/>
    <cellStyle name="常规 2 2 8 3" xfId="1567"/>
    <cellStyle name="常规 2 2 9" xfId="1407"/>
    <cellStyle name="常规 2 2 9 2" xfId="1408"/>
    <cellStyle name="常规 2 2 9 3" xfId="1568"/>
    <cellStyle name="常规 2 3" xfId="1409"/>
    <cellStyle name="常规 2 3 2" xfId="1410"/>
    <cellStyle name="常规 2 3 2 2" xfId="1411"/>
    <cellStyle name="常规 2 3 2 3" xfId="1771"/>
    <cellStyle name="常规 2 3 3" xfId="1412"/>
    <cellStyle name="常规 2 4" xfId="1413"/>
    <cellStyle name="常规 2 4 2" xfId="1414"/>
    <cellStyle name="常规 2 4 2 2" xfId="1415"/>
    <cellStyle name="常规 2 4 2 3" xfId="1790"/>
    <cellStyle name="常规 2 4 3" xfId="1416"/>
    <cellStyle name="常规 2 5" xfId="1417"/>
    <cellStyle name="常规 2 6" xfId="1602"/>
    <cellStyle name="常规 21 4" xfId="1418"/>
    <cellStyle name="常规 21 4 2" xfId="1419"/>
    <cellStyle name="常规 21 4 2 2" xfId="1420"/>
    <cellStyle name="常规 21 4 2 3" xfId="1892"/>
    <cellStyle name="常规 21 4 3" xfId="1421"/>
    <cellStyle name="常规 22 4" xfId="1422"/>
    <cellStyle name="常规 22 4 2" xfId="1423"/>
    <cellStyle name="常规 22 4 2 2" xfId="1424"/>
    <cellStyle name="常规 22 4 2 3" xfId="1908"/>
    <cellStyle name="常规 22 4 3" xfId="1425"/>
    <cellStyle name="常规 23 2" xfId="1"/>
    <cellStyle name="常规 23 2 2" xfId="3"/>
    <cellStyle name="常规 23 2 3" xfId="2089"/>
    <cellStyle name="常规 23 2 4" xfId="2091"/>
    <cellStyle name="常规 23 2 5" xfId="2093"/>
    <cellStyle name="常规 23 2 6" xfId="2095"/>
    <cellStyle name="常规 23 2 7" xfId="2097"/>
    <cellStyle name="常规 23 2 8" xfId="2099"/>
    <cellStyle name="常规 24 4" xfId="1426"/>
    <cellStyle name="常规 24 4 2" xfId="1427"/>
    <cellStyle name="常规 24 4 2 2" xfId="1428"/>
    <cellStyle name="常规 24 4 2 3" xfId="1845"/>
    <cellStyle name="常规 24 4 3" xfId="1429"/>
    <cellStyle name="常规 27 4" xfId="1430"/>
    <cellStyle name="常规 27 4 2" xfId="1431"/>
    <cellStyle name="常规 27 4 2 2" xfId="1432"/>
    <cellStyle name="常规 27 4 2 3" xfId="1888"/>
    <cellStyle name="常规 27 4 3" xfId="1433"/>
    <cellStyle name="常规 28 4" xfId="1434"/>
    <cellStyle name="常规 28 4 2" xfId="1435"/>
    <cellStyle name="常规 28 4 2 2" xfId="1436"/>
    <cellStyle name="常规 28 4 2 3" xfId="1918"/>
    <cellStyle name="常规 28 4 3" xfId="1437"/>
    <cellStyle name="常规 29 4" xfId="1438"/>
    <cellStyle name="常规 29 4 2" xfId="1439"/>
    <cellStyle name="常规 29 4 2 2" xfId="1440"/>
    <cellStyle name="常规 29 4 2 3" xfId="1829"/>
    <cellStyle name="常规 29 4 3" xfId="1441"/>
    <cellStyle name="常规 3" xfId="1442"/>
    <cellStyle name="常规 3 10" xfId="1443"/>
    <cellStyle name="常规 3 10 2" xfId="1444"/>
    <cellStyle name="常规 3 10 2 2" xfId="1445"/>
    <cellStyle name="常规 3 10 2 3" xfId="1944"/>
    <cellStyle name="常规 3 10 3" xfId="1446"/>
    <cellStyle name="常规 3 16" xfId="1447"/>
    <cellStyle name="常规 3 16 2" xfId="1448"/>
    <cellStyle name="常规 3 16 2 2" xfId="1449"/>
    <cellStyle name="常规 3 16 2 3" xfId="1782"/>
    <cellStyle name="常规 3 16 3" xfId="1450"/>
    <cellStyle name="常规 3 2" xfId="1451"/>
    <cellStyle name="常规 3 2 2" xfId="1452"/>
    <cellStyle name="常规 3 2 2 2" xfId="1453"/>
    <cellStyle name="常规 3 2 2 3" xfId="1945"/>
    <cellStyle name="常规 3 2 3" xfId="1454"/>
    <cellStyle name="常规 3 3" xfId="1455"/>
    <cellStyle name="常规 3 4" xfId="1456"/>
    <cellStyle name="常规 3 4 2" xfId="1457"/>
    <cellStyle name="常规 3 4 2 2" xfId="1458"/>
    <cellStyle name="常规 3 4 2 2 2" xfId="1459"/>
    <cellStyle name="常规 3 4 2 2 3" xfId="1805"/>
    <cellStyle name="常规 3 4 2 3" xfId="1460"/>
    <cellStyle name="常规 3 4 3" xfId="1461"/>
    <cellStyle name="常规 3 4 4" xfId="1603"/>
    <cellStyle name="常规 3 5" xfId="1575"/>
    <cellStyle name="常规 39" xfId="1462"/>
    <cellStyle name="常规 39 2" xfId="1463"/>
    <cellStyle name="常规 39 3" xfId="1611"/>
    <cellStyle name="常规 4" xfId="1464"/>
    <cellStyle name="常规 4 2" xfId="1465"/>
    <cellStyle name="常规 4 3" xfId="1946"/>
    <cellStyle name="常规 4 4" xfId="1466"/>
    <cellStyle name="常规 4 4 2" xfId="1467"/>
    <cellStyle name="常规 4 4 2 2" xfId="1468"/>
    <cellStyle name="常规 4 4 2 3" xfId="1947"/>
    <cellStyle name="常规 4 4 3" xfId="1469"/>
    <cellStyle name="常规 5 2" xfId="1470"/>
    <cellStyle name="常规 5 2 2" xfId="1471"/>
    <cellStyle name="常规 5 2 2 2" xfId="1472"/>
    <cellStyle name="常规 5 2 2 3" xfId="1749"/>
    <cellStyle name="常规 5 2 3" xfId="1473"/>
    <cellStyle name="常规 5 4" xfId="1474"/>
    <cellStyle name="常规 5 4 2" xfId="1475"/>
    <cellStyle name="常规 5 4 2 2" xfId="1476"/>
    <cellStyle name="常规 5 4 2 3" xfId="1948"/>
    <cellStyle name="常规 5 4 3" xfId="1477"/>
    <cellStyle name="常规 6" xfId="1478"/>
    <cellStyle name="常规 6 2" xfId="1479"/>
    <cellStyle name="常规 6 2 2" xfId="1480"/>
    <cellStyle name="常规 6 2 3" xfId="1746"/>
    <cellStyle name="常规 6 3" xfId="1481"/>
    <cellStyle name="常规 6 4" xfId="1482"/>
    <cellStyle name="常规 6 4 2" xfId="1483"/>
    <cellStyle name="常规 6 4 2 2" xfId="1484"/>
    <cellStyle name="常规 6 4 2 3" xfId="1830"/>
    <cellStyle name="常规 6 4 3" xfId="1485"/>
    <cellStyle name="常规 7" xfId="1486"/>
    <cellStyle name="常规 7 2" xfId="1487"/>
    <cellStyle name="常规 7 2 2" xfId="1488"/>
    <cellStyle name="常规 7 2 2 2" xfId="1489"/>
    <cellStyle name="常规 7 2 3" xfId="1490"/>
    <cellStyle name="常规 7 3" xfId="1491"/>
    <cellStyle name="常规 7 3 2" xfId="1492"/>
    <cellStyle name="常规 7 3 2 2" xfId="1493"/>
    <cellStyle name="常规 7 3 3" xfId="1494"/>
    <cellStyle name="常规 7 4" xfId="1495"/>
    <cellStyle name="常规 7 4 2" xfId="1496"/>
    <cellStyle name="常规 7 4 2 2" xfId="1497"/>
    <cellStyle name="常规 7 4 2 2 2" xfId="1498"/>
    <cellStyle name="常规 7 4 2 2 3" xfId="1949"/>
    <cellStyle name="常规 7 4 2 3" xfId="1499"/>
    <cellStyle name="常规 7 4 3" xfId="1500"/>
    <cellStyle name="常规 7 4 4" xfId="1608"/>
    <cellStyle name="常规 7 5" xfId="1501"/>
    <cellStyle name="常规 7 5 2" xfId="1502"/>
    <cellStyle name="常规 7 5 3" xfId="1925"/>
    <cellStyle name="常规 7 6" xfId="1503"/>
    <cellStyle name="常规 7 6 2" xfId="1504"/>
    <cellStyle name="常规 7 7" xfId="1505"/>
    <cellStyle name="常规 8" xfId="1506"/>
    <cellStyle name="常规 8 2" xfId="1507"/>
    <cellStyle name="常规 8 2 2" xfId="1508"/>
    <cellStyle name="常规 8 2 3" xfId="1734"/>
    <cellStyle name="常规 8 3" xfId="1509"/>
    <cellStyle name="常规 8 4" xfId="1569"/>
    <cellStyle name="常规 8 5" xfId="1510"/>
    <cellStyle name="常规 8 5 2" xfId="1511"/>
    <cellStyle name="常规 8 5 3" xfId="1570"/>
    <cellStyle name="常规 9" xfId="1512"/>
    <cellStyle name="常规 9 2" xfId="1513"/>
    <cellStyle name="常规 9 2 2" xfId="1514"/>
    <cellStyle name="常规 9 2 2 2" xfId="1515"/>
    <cellStyle name="常规 9 2 3" xfId="1516"/>
    <cellStyle name="常规 9 3" xfId="1517"/>
    <cellStyle name="常规 9 3 2" xfId="1518"/>
    <cellStyle name="常规 9 3 2 2" xfId="1519"/>
    <cellStyle name="常规 9 3 3" xfId="1520"/>
    <cellStyle name="常规 9 4" xfId="1521"/>
    <cellStyle name="常规 9 4 2" xfId="1522"/>
    <cellStyle name="常规 9 4 3" xfId="1609"/>
    <cellStyle name="常规 9 5" xfId="1523"/>
    <cellStyle name="常规 9 5 2" xfId="1524"/>
    <cellStyle name="常规 9 5 3" xfId="1765"/>
    <cellStyle name="常规 9 6" xfId="1525"/>
    <cellStyle name="常规 9 6 2" xfId="1526"/>
    <cellStyle name="常规 9 7" xfId="1527"/>
    <cellStyle name="普通 3" xfId="1528"/>
    <cellStyle name="普通 3 2" xfId="1529"/>
    <cellStyle name="普通 3 2 2" xfId="1530"/>
    <cellStyle name="普通 3 2 3" xfId="1950"/>
    <cellStyle name="普通 3 3" xfId="1531"/>
    <cellStyle name="普通 4" xfId="1532"/>
    <cellStyle name="普通 4 2" xfId="1533"/>
    <cellStyle name="普通 4 2 2" xfId="1534"/>
    <cellStyle name="普通 4 2 3" xfId="1572"/>
    <cellStyle name="普通 4 2 7" xfId="1535"/>
    <cellStyle name="普通 4 2 7 2" xfId="1536"/>
    <cellStyle name="普通 4 2 7 2 2" xfId="1537"/>
    <cellStyle name="普通 4 2 7 2 3" xfId="1864"/>
    <cellStyle name="普通 4 2 7 3" xfId="1538"/>
    <cellStyle name="普通 4 3" xfId="1539"/>
    <cellStyle name="普通 4 4" xfId="1571"/>
    <cellStyle name="普通 4 5" xfId="1540"/>
    <cellStyle name="普通 4 5 2" xfId="1541"/>
    <cellStyle name="普通 4 5 2 2" xfId="1542"/>
    <cellStyle name="普通 4 5 2 3" xfId="1943"/>
    <cellStyle name="普通 4 5 3" xfId="1543"/>
    <cellStyle name="普通 4 5 6" xfId="1544"/>
    <cellStyle name="普通 4 5 6 2" xfId="1545"/>
    <cellStyle name="普通 4 5 6 3" xfId="1573"/>
    <cellStyle name="样式 1" xfId="1546"/>
    <cellStyle name="样式 1 2" xfId="1547"/>
    <cellStyle name="样式 1 2 2" xfId="1548"/>
    <cellStyle name="样式 1 2 3" xfId="1784"/>
    <cellStyle name="样式 1 3" xfId="1549"/>
    <cellStyle name="汇总 2" xfId="1550"/>
    <cellStyle name="汇总 2 2" xfId="1551"/>
    <cellStyle name="汇总 2 3" xfId="1683"/>
    <cellStyle name="注释 2" xfId="1552"/>
    <cellStyle name="注释 2 2" xfId="1553"/>
    <cellStyle name="注释 2 3" xfId="1739"/>
    <cellStyle name="计算 2" xfId="1554"/>
    <cellStyle name="计算 2 2" xfId="1555"/>
    <cellStyle name="计算 2 3" xfId="1613"/>
    <cellStyle name="输入 2" xfId="1556"/>
    <cellStyle name="输入 2 2" xfId="1557"/>
    <cellStyle name="输入 2 3" xfId="1738"/>
    <cellStyle name="输出 2" xfId="1558"/>
    <cellStyle name="输出 2 2" xfId="1559"/>
    <cellStyle name="输出 2 3" xfId="1623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581025</xdr:colOff>
      <xdr:row>39</xdr:row>
      <xdr:rowOff>161925</xdr:rowOff>
    </xdr:from>
    <xdr:to>
      <xdr:col>6</xdr:col>
      <xdr:colOff>768350</xdr:colOff>
      <xdr:row>42</xdr:row>
      <xdr:rowOff>103293</xdr:rowOff>
    </xdr:to>
    <xdr:pic>
      <xdr:nvPicPr>
        <xdr:cNvPr id="2" name="IM 2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71975" y="13287375"/>
          <a:ext cx="1406525" cy="512868"/>
        </a:xfrm>
        <a:prstGeom prst="rect">
          <a:avLst/>
        </a:prstGeom>
      </xdr:spPr>
    </xdr:pic>
    <xdr:clientData/>
  </xdr:twoCellAnchor>
  <xdr:twoCellAnchor editAs="oneCell">
    <xdr:from>
      <xdr:col>0</xdr:col>
      <xdr:colOff>438150</xdr:colOff>
      <xdr:row>38</xdr:row>
      <xdr:rowOff>38100</xdr:rowOff>
    </xdr:from>
    <xdr:to>
      <xdr:col>1</xdr:col>
      <xdr:colOff>867410</xdr:colOff>
      <xdr:row>43</xdr:row>
      <xdr:rowOff>105410</xdr:rowOff>
    </xdr:to>
    <xdr:pic>
      <xdr:nvPicPr>
        <xdr:cNvPr id="3" name="图片 10" descr="Печать_2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12973050"/>
          <a:ext cx="1038860" cy="101981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9"/>
  <sheetViews>
    <sheetView tabSelected="1" topLeftCell="A2" workbookViewId="0">
      <selection activeCell="G15" sqref="G15"/>
    </sheetView>
  </sheetViews>
  <sheetFormatPr defaultRowHeight="15"/>
  <cols>
    <col min="2" max="2" width="19.85546875" customWidth="1"/>
    <col min="3" max="3" width="50" customWidth="1"/>
    <col min="7" max="7" width="12.7109375" customWidth="1"/>
  </cols>
  <sheetData>
    <row r="1" spans="1:7" ht="42.75" customHeight="1">
      <c r="A1" s="37" t="s">
        <v>7</v>
      </c>
      <c r="B1" s="37"/>
      <c r="C1" s="37"/>
      <c r="D1" s="37"/>
      <c r="E1" s="37"/>
      <c r="F1" s="37"/>
      <c r="G1" s="37"/>
    </row>
    <row r="2" spans="1:7" ht="40.5" customHeight="1">
      <c r="A2" s="37" t="s">
        <v>20</v>
      </c>
      <c r="B2" s="37"/>
      <c r="C2" s="37"/>
      <c r="D2" s="37"/>
      <c r="E2" s="37"/>
      <c r="F2" s="37"/>
      <c r="G2" s="37"/>
    </row>
    <row r="3" spans="1:7" ht="15" customHeight="1">
      <c r="A3" s="20"/>
      <c r="B3" s="20"/>
      <c r="C3" s="20"/>
      <c r="D3" s="20"/>
      <c r="E3" s="20"/>
      <c r="F3" s="20"/>
      <c r="G3" s="21"/>
    </row>
    <row r="4" spans="1:7" ht="15.75" customHeight="1">
      <c r="A4" s="38" t="s">
        <v>22</v>
      </c>
      <c r="B4" s="38"/>
      <c r="C4" s="38"/>
      <c r="D4" s="38"/>
      <c r="E4" s="38"/>
      <c r="F4" s="38"/>
      <c r="G4" s="38"/>
    </row>
    <row r="6" spans="1:7" ht="8.25" customHeight="1"/>
    <row r="7" spans="1:7" ht="23.25">
      <c r="A7" s="7" t="s">
        <v>8</v>
      </c>
      <c r="B7" s="8"/>
      <c r="C7" s="9"/>
      <c r="G7" s="12" t="s">
        <v>12</v>
      </c>
    </row>
    <row r="8" spans="1:7">
      <c r="A8" s="10" t="s">
        <v>9</v>
      </c>
      <c r="B8" s="11"/>
      <c r="C8" s="10"/>
      <c r="G8" t="s">
        <v>23</v>
      </c>
    </row>
    <row r="9" spans="1:7">
      <c r="A9" s="10" t="s">
        <v>10</v>
      </c>
      <c r="B9" s="11"/>
      <c r="C9" s="10"/>
    </row>
    <row r="10" spans="1:7">
      <c r="A10" s="10" t="s">
        <v>11</v>
      </c>
      <c r="B10" s="10"/>
      <c r="C10" s="7"/>
    </row>
    <row r="12" spans="1:7">
      <c r="A12" s="13" t="s">
        <v>13</v>
      </c>
      <c r="B12" s="14"/>
      <c r="C12" s="22" t="s">
        <v>24</v>
      </c>
      <c r="D12" s="15"/>
    </row>
    <row r="13" spans="1:7" ht="7.5" customHeight="1"/>
    <row r="14" spans="1:7" ht="6.75" customHeight="1"/>
    <row r="15" spans="1:7" ht="15.75" thickBot="1"/>
    <row r="16" spans="1:7" ht="15.75" thickBot="1">
      <c r="A16" s="39" t="s">
        <v>0</v>
      </c>
      <c r="B16" s="35" t="s">
        <v>15</v>
      </c>
      <c r="C16" s="35" t="s">
        <v>1</v>
      </c>
      <c r="D16" s="35" t="s">
        <v>2</v>
      </c>
      <c r="E16" s="35" t="s">
        <v>3</v>
      </c>
      <c r="F16" s="36" t="s">
        <v>4</v>
      </c>
      <c r="G16" s="36" t="s">
        <v>5</v>
      </c>
    </row>
    <row r="17" spans="1:8" ht="15.75" thickBot="1">
      <c r="A17" s="39"/>
      <c r="B17" s="35"/>
      <c r="C17" s="35"/>
      <c r="D17" s="35"/>
      <c r="E17" s="35"/>
      <c r="F17" s="36"/>
      <c r="G17" s="36"/>
    </row>
    <row r="18" spans="1:8" ht="81.75" customHeight="1">
      <c r="A18" s="1">
        <v>1</v>
      </c>
      <c r="B18" s="2"/>
      <c r="C18" s="43"/>
      <c r="D18" s="5"/>
      <c r="E18" s="4" t="s">
        <v>6</v>
      </c>
      <c r="F18" s="6"/>
      <c r="G18" s="26">
        <f t="shared" ref="G18:G21" si="0">F18*D18</f>
        <v>0</v>
      </c>
      <c r="H18" s="34" t="s">
        <v>25</v>
      </c>
    </row>
    <row r="19" spans="1:8" ht="81.75" customHeight="1">
      <c r="A19" s="1">
        <v>2</v>
      </c>
      <c r="B19" s="2"/>
      <c r="C19" s="43"/>
      <c r="D19" s="3"/>
      <c r="E19" s="24" t="s">
        <v>6</v>
      </c>
      <c r="F19" s="3"/>
      <c r="G19" s="26">
        <f t="shared" si="0"/>
        <v>0</v>
      </c>
      <c r="H19" s="34" t="s">
        <v>26</v>
      </c>
    </row>
    <row r="20" spans="1:8" ht="90" customHeight="1">
      <c r="A20" s="1">
        <v>3</v>
      </c>
      <c r="B20" s="2"/>
      <c r="C20" s="43"/>
      <c r="D20" s="23"/>
      <c r="E20" s="24" t="s">
        <v>6</v>
      </c>
      <c r="F20" s="25"/>
      <c r="G20" s="26">
        <f t="shared" si="0"/>
        <v>0</v>
      </c>
    </row>
    <row r="21" spans="1:8" ht="81.75" customHeight="1">
      <c r="A21" s="1">
        <v>4</v>
      </c>
      <c r="B21" s="2"/>
      <c r="C21" s="43"/>
      <c r="D21" s="27"/>
      <c r="E21" s="24" t="s">
        <v>6</v>
      </c>
      <c r="F21" s="28"/>
      <c r="G21" s="29">
        <f t="shared" si="0"/>
        <v>0</v>
      </c>
    </row>
    <row r="22" spans="1:8" ht="81.75" customHeight="1">
      <c r="A22" s="1">
        <v>5</v>
      </c>
      <c r="B22" s="2"/>
      <c r="C22" s="43"/>
      <c r="D22" s="23"/>
      <c r="E22" s="24" t="s">
        <v>6</v>
      </c>
      <c r="F22" s="25"/>
      <c r="G22" s="26">
        <f t="shared" ref="G22" si="1">F22*D22</f>
        <v>0</v>
      </c>
    </row>
    <row r="23" spans="1:8" ht="81.75" customHeight="1">
      <c r="A23" s="1">
        <v>6</v>
      </c>
      <c r="B23" s="2"/>
      <c r="C23" s="43"/>
      <c r="D23" s="30"/>
      <c r="E23" s="24" t="s">
        <v>6</v>
      </c>
      <c r="F23" s="25"/>
      <c r="G23" s="26">
        <f t="shared" ref="G23:G30" si="2">F23*D23</f>
        <v>0</v>
      </c>
    </row>
    <row r="24" spans="1:8" ht="81.75" customHeight="1">
      <c r="A24" s="1">
        <v>7</v>
      </c>
      <c r="B24" s="2"/>
      <c r="C24" s="43"/>
      <c r="D24" s="30"/>
      <c r="E24" s="24" t="s">
        <v>6</v>
      </c>
      <c r="F24" s="25"/>
      <c r="G24" s="26">
        <f t="shared" si="2"/>
        <v>0</v>
      </c>
    </row>
    <row r="25" spans="1:8" ht="81.75" customHeight="1">
      <c r="A25" s="1">
        <v>8</v>
      </c>
      <c r="B25" s="2"/>
      <c r="C25" s="43"/>
      <c r="D25" s="3"/>
      <c r="E25" s="24" t="s">
        <v>6</v>
      </c>
      <c r="F25" s="3"/>
      <c r="G25" s="26">
        <f t="shared" si="2"/>
        <v>0</v>
      </c>
    </row>
    <row r="26" spans="1:8" s="34" customFormat="1" ht="81.75" customHeight="1">
      <c r="A26" s="1">
        <v>9</v>
      </c>
      <c r="B26" s="31"/>
      <c r="C26" s="43"/>
      <c r="D26" s="33"/>
      <c r="E26" s="32" t="s">
        <v>6</v>
      </c>
      <c r="F26" s="33"/>
      <c r="G26" s="26">
        <f t="shared" si="2"/>
        <v>0</v>
      </c>
    </row>
    <row r="27" spans="1:8" s="34" customFormat="1" ht="81.75" customHeight="1">
      <c r="A27" s="1">
        <f>A26+1</f>
        <v>10</v>
      </c>
      <c r="B27" s="41"/>
      <c r="C27" s="43"/>
      <c r="D27" s="42"/>
      <c r="E27" s="32" t="s">
        <v>6</v>
      </c>
      <c r="F27" s="42"/>
      <c r="G27" s="26">
        <f t="shared" si="2"/>
        <v>0</v>
      </c>
    </row>
    <row r="28" spans="1:8" s="34" customFormat="1" ht="81.75" customHeight="1">
      <c r="A28" s="1">
        <f>A27+1</f>
        <v>11</v>
      </c>
      <c r="B28" s="41"/>
      <c r="C28" s="43"/>
      <c r="D28" s="42"/>
      <c r="E28" s="32" t="s">
        <v>6</v>
      </c>
      <c r="F28" s="42"/>
      <c r="G28" s="26">
        <f t="shared" si="2"/>
        <v>0</v>
      </c>
    </row>
    <row r="29" spans="1:8" s="34" customFormat="1" ht="81.75" customHeight="1">
      <c r="A29" s="1">
        <f>A28+1</f>
        <v>12</v>
      </c>
      <c r="B29" s="41"/>
      <c r="C29" s="43"/>
      <c r="D29" s="42"/>
      <c r="E29" s="32" t="s">
        <v>6</v>
      </c>
      <c r="F29" s="42"/>
      <c r="G29" s="26">
        <f t="shared" si="2"/>
        <v>0</v>
      </c>
    </row>
    <row r="30" spans="1:8" s="34" customFormat="1" ht="81.75" customHeight="1">
      <c r="A30" s="1">
        <f>A29+1</f>
        <v>13</v>
      </c>
      <c r="B30" s="31"/>
      <c r="C30" s="43"/>
      <c r="D30" s="33"/>
      <c r="E30" s="32" t="s">
        <v>6</v>
      </c>
      <c r="F30" s="33"/>
      <c r="G30" s="26">
        <f t="shared" si="2"/>
        <v>0</v>
      </c>
    </row>
    <row r="31" spans="1:8" ht="36" customHeight="1">
      <c r="C31" s="17" t="s">
        <v>14</v>
      </c>
      <c r="G31" s="16">
        <f>SUM(G18:G25)</f>
        <v>0</v>
      </c>
    </row>
    <row r="32" spans="1:8">
      <c r="C32" s="17"/>
      <c r="G32" s="16"/>
    </row>
    <row r="33" spans="1:7">
      <c r="C33" s="17"/>
      <c r="G33" s="16"/>
    </row>
    <row r="34" spans="1:7">
      <c r="A34" t="s">
        <v>21</v>
      </c>
    </row>
    <row r="35" spans="1:7">
      <c r="A35" t="s">
        <v>19</v>
      </c>
    </row>
    <row r="36" spans="1:7">
      <c r="A36" t="s">
        <v>16</v>
      </c>
    </row>
    <row r="37" spans="1:7">
      <c r="A37" t="s">
        <v>18</v>
      </c>
    </row>
    <row r="39" spans="1:7">
      <c r="F39" s="18" t="s">
        <v>17</v>
      </c>
      <c r="G39" s="19"/>
    </row>
  </sheetData>
  <mergeCells count="10">
    <mergeCell ref="E16:E17"/>
    <mergeCell ref="F16:F17"/>
    <mergeCell ref="G16:G17"/>
    <mergeCell ref="A1:G1"/>
    <mergeCell ref="A4:G4"/>
    <mergeCell ref="A2:G2"/>
    <mergeCell ref="A16:A17"/>
    <mergeCell ref="B16:B17"/>
    <mergeCell ref="C16:C17"/>
    <mergeCell ref="D16:D17"/>
  </mergeCells>
  <conditionalFormatting sqref="B18:B30">
    <cfRule type="duplicateValues" dxfId="0" priority="23"/>
  </conditionalFormatting>
  <pageMargins left="0.7" right="0.7" top="0.75" bottom="0.75" header="0.3" footer="0.3"/>
  <pageSetup paperSize="9" scale="84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selection activeCell="D1" sqref="D1:D13"/>
    </sheetView>
  </sheetViews>
  <sheetFormatPr defaultRowHeight="15"/>
  <cols>
    <col min="2" max="2" width="14.28515625" bestFit="1" customWidth="1"/>
    <col min="3" max="3" width="10.85546875" bestFit="1" customWidth="1"/>
    <col min="4" max="4" width="54.28515625" bestFit="1" customWidth="1"/>
    <col min="5" max="5" width="4" bestFit="1" customWidth="1"/>
    <col min="6" max="6" width="3.42578125" bestFit="1" customWidth="1"/>
    <col min="8" max="8" width="11.42578125" bestFit="1" customWidth="1"/>
  </cols>
  <sheetData>
    <row r="1" spans="1:8">
      <c r="A1">
        <v>1</v>
      </c>
      <c r="B1" t="s">
        <v>27</v>
      </c>
      <c r="C1" t="s">
        <v>28</v>
      </c>
      <c r="D1" t="s">
        <v>29</v>
      </c>
      <c r="E1">
        <v>250</v>
      </c>
      <c r="F1" t="s">
        <v>30</v>
      </c>
      <c r="G1">
        <v>125</v>
      </c>
      <c r="H1">
        <v>31250</v>
      </c>
    </row>
    <row r="2" spans="1:8">
      <c r="A2">
        <v>2</v>
      </c>
      <c r="B2" t="s">
        <v>31</v>
      </c>
      <c r="C2" t="s">
        <v>32</v>
      </c>
      <c r="D2" t="s">
        <v>33</v>
      </c>
      <c r="E2">
        <v>330</v>
      </c>
      <c r="F2" t="s">
        <v>30</v>
      </c>
      <c r="G2">
        <v>115</v>
      </c>
      <c r="H2">
        <v>37950</v>
      </c>
    </row>
    <row r="3" spans="1:8">
      <c r="A3">
        <v>3</v>
      </c>
      <c r="B3" t="s">
        <v>34</v>
      </c>
      <c r="C3" t="s">
        <v>35</v>
      </c>
      <c r="D3" t="s">
        <v>36</v>
      </c>
      <c r="E3">
        <v>300</v>
      </c>
      <c r="F3" t="s">
        <v>30</v>
      </c>
      <c r="G3">
        <v>125</v>
      </c>
      <c r="H3">
        <v>37500</v>
      </c>
    </row>
    <row r="4" spans="1:8">
      <c r="A4">
        <v>4</v>
      </c>
      <c r="B4" t="s">
        <v>37</v>
      </c>
      <c r="C4" t="s">
        <v>38</v>
      </c>
      <c r="D4" t="s">
        <v>39</v>
      </c>
      <c r="E4">
        <v>291</v>
      </c>
      <c r="F4" t="s">
        <v>30</v>
      </c>
      <c r="G4">
        <v>165</v>
      </c>
      <c r="H4">
        <v>48015</v>
      </c>
    </row>
    <row r="5" spans="1:8">
      <c r="A5">
        <v>5</v>
      </c>
      <c r="B5" t="s">
        <v>40</v>
      </c>
      <c r="C5" t="s">
        <v>41</v>
      </c>
      <c r="D5" t="s">
        <v>42</v>
      </c>
      <c r="E5">
        <v>150</v>
      </c>
      <c r="F5" t="s">
        <v>30</v>
      </c>
      <c r="G5">
        <v>390</v>
      </c>
      <c r="H5">
        <v>58500</v>
      </c>
    </row>
    <row r="6" spans="1:8">
      <c r="A6">
        <v>6</v>
      </c>
      <c r="B6" t="s">
        <v>43</v>
      </c>
      <c r="C6" t="s">
        <v>44</v>
      </c>
      <c r="D6" t="s">
        <v>45</v>
      </c>
      <c r="E6">
        <v>500</v>
      </c>
      <c r="F6" t="s">
        <v>30</v>
      </c>
      <c r="G6">
        <v>188</v>
      </c>
      <c r="H6">
        <v>94000</v>
      </c>
    </row>
    <row r="7" spans="1:8">
      <c r="A7">
        <v>7</v>
      </c>
      <c r="B7" t="s">
        <v>46</v>
      </c>
      <c r="C7" t="s">
        <v>47</v>
      </c>
      <c r="D7" t="s">
        <v>48</v>
      </c>
      <c r="E7">
        <v>219</v>
      </c>
      <c r="F7" t="s">
        <v>30</v>
      </c>
      <c r="G7">
        <v>166</v>
      </c>
      <c r="H7">
        <v>36354</v>
      </c>
    </row>
    <row r="8" spans="1:8">
      <c r="A8">
        <v>8</v>
      </c>
      <c r="B8" t="s">
        <v>49</v>
      </c>
      <c r="C8" t="s">
        <v>50</v>
      </c>
      <c r="D8" t="s">
        <v>51</v>
      </c>
      <c r="E8">
        <v>457</v>
      </c>
      <c r="F8" t="s">
        <v>30</v>
      </c>
      <c r="G8">
        <v>190</v>
      </c>
      <c r="H8">
        <v>86830</v>
      </c>
    </row>
    <row r="9" spans="1:8">
      <c r="A9">
        <v>9</v>
      </c>
      <c r="B9" t="s">
        <v>52</v>
      </c>
      <c r="C9" t="s">
        <v>53</v>
      </c>
      <c r="D9" t="s">
        <v>54</v>
      </c>
      <c r="E9">
        <v>150</v>
      </c>
      <c r="F9" t="s">
        <v>30</v>
      </c>
      <c r="G9">
        <v>262</v>
      </c>
      <c r="H9">
        <v>39300</v>
      </c>
    </row>
    <row r="10" spans="1:8">
      <c r="A10">
        <v>10</v>
      </c>
      <c r="B10" t="s">
        <v>55</v>
      </c>
      <c r="C10" t="s">
        <v>56</v>
      </c>
      <c r="D10" t="s">
        <v>57</v>
      </c>
      <c r="E10">
        <v>148</v>
      </c>
      <c r="F10" t="s">
        <v>30</v>
      </c>
      <c r="G10">
        <v>262</v>
      </c>
      <c r="H10">
        <v>38776</v>
      </c>
    </row>
    <row r="11" spans="1:8">
      <c r="A11">
        <v>11</v>
      </c>
      <c r="B11" t="s">
        <v>58</v>
      </c>
      <c r="C11" t="s">
        <v>59</v>
      </c>
      <c r="D11" t="s">
        <v>60</v>
      </c>
      <c r="E11">
        <v>200</v>
      </c>
      <c r="F11" t="s">
        <v>30</v>
      </c>
      <c r="G11">
        <v>245</v>
      </c>
      <c r="H11">
        <v>49000</v>
      </c>
    </row>
    <row r="12" spans="1:8">
      <c r="A12">
        <v>12</v>
      </c>
      <c r="B12" t="s">
        <v>61</v>
      </c>
      <c r="C12" t="s">
        <v>62</v>
      </c>
      <c r="D12" t="s">
        <v>63</v>
      </c>
      <c r="E12">
        <v>140</v>
      </c>
      <c r="F12" t="s">
        <v>30</v>
      </c>
      <c r="G12">
        <v>310</v>
      </c>
      <c r="H12">
        <v>43400</v>
      </c>
    </row>
    <row r="13" spans="1:8">
      <c r="A13">
        <v>13</v>
      </c>
      <c r="B13" t="s">
        <v>64</v>
      </c>
      <c r="C13" t="s">
        <v>65</v>
      </c>
      <c r="D13" t="s">
        <v>66</v>
      </c>
      <c r="E13">
        <v>150</v>
      </c>
      <c r="F13" t="s">
        <v>30</v>
      </c>
      <c r="G13">
        <v>475</v>
      </c>
      <c r="H13">
        <v>71250</v>
      </c>
    </row>
    <row r="14" spans="1:8">
      <c r="H14" s="40">
        <f>SUM(H1:H13)</f>
        <v>672125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Качанов Денис</dc:creator>
  <cp:lastModifiedBy>Качанов Денис</cp:lastModifiedBy>
  <dcterms:created xsi:type="dcterms:W3CDTF">2024-10-29T09:33:27Z</dcterms:created>
  <dcterms:modified xsi:type="dcterms:W3CDTF">2026-02-11T11:12:56Z</dcterms:modified>
</cp:coreProperties>
</file>